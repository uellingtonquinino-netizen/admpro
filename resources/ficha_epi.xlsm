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uário\Desktop\"/>
    </mc:Choice>
  </mc:AlternateContent>
  <xr:revisionPtr revIDLastSave="0" documentId="13_ncr:1_{FCDC6877-5206-40BA-B8F9-18D7355C2D29}" xr6:coauthVersionLast="47" xr6:coauthVersionMax="47" xr10:uidLastSave="{00000000-0000-0000-0000-000000000000}"/>
  <bookViews>
    <workbookView xWindow="-120" yWindow="-120" windowWidth="20730" windowHeight="11040" tabRatio="832" firstSheet="2" activeTab="2" xr2:uid="{00000000-000D-0000-FFFF-FFFF00000000}"/>
  </bookViews>
  <sheets>
    <sheet name="Planilha7" sheetId="178" state="hidden" r:id="rId1"/>
    <sheet name="DADOS" sheetId="176" state="hidden" r:id="rId2"/>
    <sheet name="FICHA DE EPI" sheetId="150" r:id="rId3"/>
    <sheet name="DISPENSA CONTRATO (2)" sheetId="167" state="hidden" r:id="rId4"/>
  </sheets>
  <definedNames>
    <definedName name="_xlnm._FilterDatabase" localSheetId="3" hidden="1">'DISPENSA CONTRATO (2)'!$A$1:$K$10</definedName>
    <definedName name="_xlnm.Print_Area" localSheetId="3">'DISPENSA CONTRATO (2)'!$A$1:$K$19</definedName>
    <definedName name="TotalExpenses">SUM(#REF!)</definedName>
  </definedNames>
  <calcPr calcId="181029"/>
  <pivotCaches>
    <pivotCache cacheId="0" r:id="rId5"/>
  </pivotCaches>
  <extLs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5" i="167" l="1"/>
  <c r="C6" i="167"/>
  <c r="C4" i="167"/>
  <c r="G18" i="167"/>
</calcChain>
</file>

<file path=xl/sharedStrings.xml><?xml version="1.0" encoding="utf-8"?>
<sst xmlns="http://schemas.openxmlformats.org/spreadsheetml/2006/main" count="88" uniqueCount="52">
  <si>
    <t>FUNÇÃO</t>
  </si>
  <si>
    <t>PEDREIRO</t>
  </si>
  <si>
    <t>DEVOLUÇÃO</t>
  </si>
  <si>
    <t xml:space="preserve">  </t>
  </si>
  <si>
    <t>NOME:</t>
  </si>
  <si>
    <t>FUNÇÃO:</t>
  </si>
  <si>
    <t>DATA:</t>
  </si>
  <si>
    <t>ENGENHEIRO</t>
  </si>
  <si>
    <t>SERVENTE COMUM</t>
  </si>
  <si>
    <t>ENCARREGADO DE OBRAS</t>
  </si>
  <si>
    <t>ENCARREGADO ADMINISTRATIVO</t>
  </si>
  <si>
    <t>CARPINTEIRO</t>
  </si>
  <si>
    <t>ARMADOR</t>
  </si>
  <si>
    <t>CABO DE TURMA DE ARMADOR</t>
  </si>
  <si>
    <t>SERVENTE PRATICO DE PEDREIRO</t>
  </si>
  <si>
    <t>VIGIA</t>
  </si>
  <si>
    <t>OPERADOR DE BETONEIRA</t>
  </si>
  <si>
    <t>ASSISTENTE ADMINISTRATIVO</t>
  </si>
  <si>
    <t>CABO DE TURMA DE SERVENTES</t>
  </si>
  <si>
    <t>ENCARREGADO DE ELÉTRICA</t>
  </si>
  <si>
    <t>AUX. DE SERVIÇOS GERAIS</t>
  </si>
  <si>
    <t>DATA ENTREGA</t>
  </si>
  <si>
    <t>QTD</t>
  </si>
  <si>
    <t>DESCRIÇÃO</t>
  </si>
  <si>
    <t>CA nº</t>
  </si>
  <si>
    <t>MOTIVO</t>
  </si>
  <si>
    <t xml:space="preserve">ASSINATURA </t>
  </si>
  <si>
    <t>A</t>
  </si>
  <si>
    <t>S</t>
  </si>
  <si>
    <t>P</t>
  </si>
  <si>
    <t>D</t>
  </si>
  <si>
    <t>DATA</t>
  </si>
  <si>
    <t>RUBRICA</t>
  </si>
  <si>
    <t>CAPACETE</t>
  </si>
  <si>
    <t>TOUCA ÁRABE</t>
  </si>
  <si>
    <t>CABO DE TURMA DE CARP.</t>
  </si>
  <si>
    <t>AUTORIZAÇÃO DE RETIRADA DE EPI's</t>
  </si>
  <si>
    <t>DESCRIÇÃO DO EPI</t>
  </si>
  <si>
    <t>CONJUNTO DE UNIFORME</t>
  </si>
  <si>
    <t>PAR DE BOTAS DE SEGURANÇA</t>
  </si>
  <si>
    <t>PAR DE BOTAS DE BORRACHA</t>
  </si>
  <si>
    <t>ÓCULOS DE SEGURANÇA</t>
  </si>
  <si>
    <t>DEPARTAMENTO PESSOAL</t>
  </si>
  <si>
    <t>Total Geral</t>
  </si>
  <si>
    <t>Soma de QUANTIDADE</t>
  </si>
  <si>
    <t>Média de MEDIA IDADE</t>
  </si>
  <si>
    <t>QUANTITATIVO</t>
  </si>
  <si>
    <t>PERCENTIL</t>
  </si>
  <si>
    <t>MEDIA DE IDADE</t>
  </si>
  <si>
    <t>CUSTO SALÁRIOS</t>
  </si>
  <si>
    <t>MÉDIA SALÁRIOS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</si>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</sst>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-&quot;R$&quot;\ * #,##0.00_-;\-&quot;R$&quot;\ * #,##0.00_-;_-&quot;R$&quot;\ * &quot;-&quot;??_-;_-@_-"/>
    <numFmt numFmtId="164" formatCode="_(* #,##0.00_);_(* \(#,##0.00\);_(* &quot;-&quot;??_);_(@_)"/>
    <numFmt numFmtId="165" formatCode="_(&quot;R$&quot;* #,##0.00_);_(&quot;R$&quot;* \(#,##0.00\);_(&quot;R$&quot;* &quot;-&quot;??_);_(@_)"/>
    <numFmt numFmtId="166" formatCode="#,##0.00\ ;&quot; (&quot;#,##0.00\);&quot; -&quot;#\ ;@\ "/>
    <numFmt numFmtId="167" formatCode="&quot;$&quot;#,##0.00_);\(&quot;$&quot;#,##0.00\)"/>
  </numFmts>
  <fonts count="36">
    <font>
      <sz val="10"/>
      <name val="Arial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5"/>
      <color indexed="56"/>
      <name val="Calibri"/>
      <family val="2"/>
    </font>
    <font>
      <b/>
      <sz val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b/>
      <sz val="7"/>
      <color rgb="FF000000"/>
      <name val="Tahoma"/>
      <family val="2"/>
    </font>
    <font>
      <b/>
      <sz val="8"/>
      <color rgb="FF000000"/>
      <name val="Tahoma"/>
      <family val="2"/>
    </font>
    <font>
      <b/>
      <sz val="14"/>
      <color rgb="FF000000"/>
      <name val="Times New Roman"/>
      <family val="1"/>
    </font>
    <font>
      <b/>
      <sz val="6"/>
      <color rgb="FFFF0000"/>
      <name val="Tahoma"/>
      <family val="2"/>
    </font>
    <font>
      <sz val="9.5"/>
      <color rgb="FFFF0000"/>
      <name val="Tahoma"/>
      <family val="2"/>
    </font>
    <font>
      <b/>
      <sz val="10"/>
      <color rgb="FF0000FF"/>
      <name val="Tahoma"/>
      <family val="2"/>
    </font>
    <font>
      <sz val="9.5"/>
      <color rgb="FF07101B"/>
      <name val="Tahoma"/>
      <family val="2"/>
    </font>
    <font>
      <b/>
      <sz val="6"/>
      <color rgb="FF07101B"/>
      <name val="Tahoma"/>
      <family val="2"/>
    </font>
    <font>
      <sz val="9.5"/>
      <color rgb="FF07101B"/>
      <name val="Times New Roman"/>
      <family val="1"/>
    </font>
    <font>
      <sz val="11"/>
      <color theme="3"/>
      <name val="Calibri Light"/>
      <family val="2"/>
      <scheme val="minor"/>
    </font>
    <font>
      <sz val="11"/>
      <name val="Calibri Light"/>
      <family val="2"/>
      <scheme val="minor"/>
    </font>
    <font>
      <sz val="24"/>
      <color theme="0"/>
      <name val="Calibri Light"/>
      <family val="2"/>
      <scheme val="minor"/>
    </font>
    <font>
      <b/>
      <sz val="16"/>
      <color theme="0"/>
      <name val="Calibri Light"/>
      <family val="2"/>
      <scheme val="minor"/>
    </font>
    <font>
      <b/>
      <sz val="16"/>
      <color theme="7"/>
      <name val="Calibri Light"/>
      <family val="2"/>
      <scheme val="minor"/>
    </font>
    <font>
      <b/>
      <sz val="16"/>
      <color theme="6"/>
      <name val="Calibri Light"/>
      <family val="2"/>
      <scheme val="minor"/>
    </font>
    <font>
      <b/>
      <sz val="16"/>
      <color theme="5"/>
      <name val="Calibri Light"/>
      <family val="2"/>
      <scheme val="minor"/>
    </font>
    <font>
      <b/>
      <sz val="16"/>
      <color theme="4"/>
      <name val="Calibri Light"/>
      <family val="2"/>
      <scheme val="minor"/>
    </font>
    <font>
      <b/>
      <sz val="28"/>
      <color theme="0" tint="-4.9989318521683403E-2"/>
      <name val="Calibri Light"/>
      <family val="2"/>
      <scheme val="major"/>
    </font>
    <font>
      <sz val="12"/>
      <color theme="1"/>
      <name val="ArialMT"/>
      <family val="2"/>
    </font>
    <font>
      <b/>
      <sz val="9.5"/>
      <name val="Times New Roman"/>
      <family val="1"/>
    </font>
    <font>
      <b/>
      <sz val="9.5"/>
      <color rgb="FF07101B"/>
      <name val="Times New Roman"/>
      <family val="1"/>
    </font>
    <font>
      <b/>
      <sz val="14"/>
      <name val="Tahoma"/>
      <family val="2"/>
    </font>
    <font>
      <b/>
      <sz val="10"/>
      <color rgb="FF000099"/>
      <name val="Tahoma"/>
      <family val="2"/>
    </font>
    <font>
      <b/>
      <sz val="10"/>
      <name val="Tahoma"/>
      <family val="2"/>
    </font>
    <font>
      <b/>
      <sz val="11"/>
      <name val="Tahoma"/>
      <family val="2"/>
    </font>
    <font>
      <b/>
      <sz val="9.5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1" tint="0.34998626667073579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dotted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8">
    <xf numFmtId="0" fontId="0" fillId="0" borderId="0"/>
    <xf numFmtId="165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6" fontId="3" fillId="0" borderId="0" applyFill="0" applyBorder="0" applyAlignment="0" applyProtection="0"/>
    <xf numFmtId="0" fontId="4" fillId="0" borderId="1" applyNumberFormat="0" applyFill="0" applyAlignment="0" applyProtection="0"/>
    <xf numFmtId="0" fontId="19" fillId="0" borderId="0"/>
    <xf numFmtId="167" fontId="20" fillId="0" borderId="0" applyFill="0" applyBorder="0" applyProtection="0">
      <alignment horizontal="right" vertical="center" indent="1"/>
    </xf>
    <xf numFmtId="167" fontId="21" fillId="2" borderId="0" applyProtection="0">
      <alignment horizontal="left" vertical="center" indent="1"/>
    </xf>
    <xf numFmtId="0" fontId="22" fillId="2" borderId="0" applyNumberFormat="0" applyProtection="0">
      <alignment horizontal="left" vertical="center" indent="1"/>
    </xf>
    <xf numFmtId="0" fontId="23" fillId="2" borderId="0" applyNumberFormat="0" applyProtection="0">
      <alignment horizontal="left" vertical="center" indent="1"/>
    </xf>
    <xf numFmtId="0" fontId="24" fillId="2" borderId="0" applyNumberFormat="0" applyProtection="0">
      <alignment horizontal="left" vertical="center" indent="1"/>
    </xf>
    <xf numFmtId="0" fontId="25" fillId="2" borderId="0" applyNumberFormat="0" applyProtection="0">
      <alignment horizontal="left" vertical="center" indent="1"/>
    </xf>
    <xf numFmtId="0" fontId="26" fillId="2" borderId="0" applyNumberFormat="0" applyProtection="0">
      <alignment horizontal="left" vertical="center" indent="1"/>
    </xf>
    <xf numFmtId="0" fontId="27" fillId="2" borderId="0" applyNumberFormat="0" applyBorder="0" applyAlignment="0" applyProtection="0"/>
    <xf numFmtId="0" fontId="28" fillId="0" borderId="0"/>
    <xf numFmtId="0" fontId="1" fillId="0" borderId="0"/>
  </cellStyleXfs>
  <cellXfs count="131">
    <xf numFmtId="0" fontId="0" fillId="0" borderId="0" xfId="0"/>
    <xf numFmtId="0" fontId="2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horizontal="left"/>
    </xf>
    <xf numFmtId="0" fontId="2" fillId="0" borderId="8" xfId="0" applyFont="1" applyBorder="1"/>
    <xf numFmtId="0" fontId="2" fillId="0" borderId="0" xfId="0" applyFont="1" applyAlignment="1">
      <alignment horizontal="right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5" xfId="0" applyBorder="1" applyAlignment="1">
      <alignment horizontal="center"/>
    </xf>
    <xf numFmtId="0" fontId="11" fillId="3" borderId="9" xfId="0" applyFont="1" applyFill="1" applyBorder="1" applyAlignment="1">
      <alignment vertical="center" wrapText="1"/>
    </xf>
    <xf numFmtId="0" fontId="11" fillId="3" borderId="9" xfId="0" applyFont="1" applyFill="1" applyBorder="1" applyAlignment="1">
      <alignment horizontal="center" vertical="center" wrapText="1"/>
    </xf>
    <xf numFmtId="0" fontId="0" fillId="0" borderId="16" xfId="0" applyBorder="1"/>
    <xf numFmtId="0" fontId="0" fillId="0" borderId="17" xfId="0" applyBorder="1"/>
    <xf numFmtId="0" fontId="0" fillId="0" borderId="17" xfId="0" applyBorder="1" applyAlignment="1">
      <alignment horizontal="center"/>
    </xf>
    <xf numFmtId="0" fontId="0" fillId="0" borderId="18" xfId="0" applyBorder="1"/>
    <xf numFmtId="0" fontId="0" fillId="0" borderId="21" xfId="0" applyBorder="1" applyAlignment="1">
      <alignment horizontal="center"/>
    </xf>
    <xf numFmtId="0" fontId="2" fillId="0" borderId="15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left"/>
    </xf>
    <xf numFmtId="0" fontId="0" fillId="0" borderId="0" xfId="0" applyAlignment="1">
      <alignment horizontal="left"/>
    </xf>
    <xf numFmtId="44" fontId="0" fillId="0" borderId="0" xfId="0" applyNumberFormat="1"/>
    <xf numFmtId="1" fontId="0" fillId="0" borderId="0" xfId="0" applyNumberFormat="1"/>
    <xf numFmtId="0" fontId="0" fillId="0" borderId="0" xfId="0" pivotButton="1"/>
    <xf numFmtId="9" fontId="0" fillId="0" borderId="0" xfId="0" applyNumberFormat="1"/>
    <xf numFmtId="0" fontId="0" fillId="4" borderId="0" xfId="0" applyFill="1"/>
    <xf numFmtId="14" fontId="13" fillId="0" borderId="11" xfId="0" applyNumberFormat="1" applyFont="1" applyBorder="1" applyAlignment="1" applyProtection="1">
      <alignment horizontal="center" vertical="center" wrapText="1"/>
      <protection locked="0"/>
    </xf>
    <xf numFmtId="0" fontId="13" fillId="0" borderId="10" xfId="0" applyFont="1" applyBorder="1" applyAlignment="1" applyProtection="1">
      <alignment horizontal="center" vertical="center" wrapText="1"/>
      <protection locked="0"/>
    </xf>
    <xf numFmtId="0" fontId="13" fillId="0" borderId="12" xfId="0" applyFont="1" applyBorder="1" applyAlignment="1" applyProtection="1">
      <alignment horizontal="center" vertical="center" wrapText="1"/>
      <protection locked="0"/>
    </xf>
    <xf numFmtId="0" fontId="31" fillId="0" borderId="9" xfId="0" applyFont="1" applyBorder="1" applyAlignment="1" applyProtection="1">
      <alignment horizontal="center" vertical="center" wrapText="1"/>
      <protection locked="0"/>
    </xf>
    <xf numFmtId="0" fontId="29" fillId="0" borderId="9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 applyProtection="1">
      <alignment horizontal="center" vertical="center" wrapText="1"/>
      <protection locked="0"/>
    </xf>
    <xf numFmtId="0" fontId="32" fillId="0" borderId="11" xfId="0" applyFont="1" applyBorder="1" applyAlignment="1" applyProtection="1">
      <alignment vertical="center" wrapText="1"/>
      <protection locked="0"/>
    </xf>
    <xf numFmtId="0" fontId="32" fillId="0" borderId="12" xfId="0" applyFont="1" applyBorder="1" applyAlignment="1" applyProtection="1">
      <alignment vertical="center" wrapText="1"/>
      <protection locked="0"/>
    </xf>
    <xf numFmtId="0" fontId="15" fillId="0" borderId="11" xfId="0" applyFont="1" applyBorder="1" applyAlignment="1" applyProtection="1">
      <alignment horizontal="center" vertical="center" wrapText="1"/>
      <protection locked="0"/>
    </xf>
    <xf numFmtId="0" fontId="15" fillId="0" borderId="10" xfId="0" applyFont="1" applyBorder="1" applyAlignment="1" applyProtection="1">
      <alignment horizontal="center" vertical="center" wrapText="1"/>
      <protection locked="0"/>
    </xf>
    <xf numFmtId="0" fontId="15" fillId="0" borderId="12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 applyProtection="1">
      <alignment vertical="center" wrapText="1"/>
      <protection locked="0"/>
    </xf>
    <xf numFmtId="0" fontId="16" fillId="0" borderId="11" xfId="0" applyFont="1" applyBorder="1" applyAlignment="1" applyProtection="1">
      <alignment horizontal="center" vertical="center" wrapText="1"/>
      <protection locked="0"/>
    </xf>
    <xf numFmtId="0" fontId="16" fillId="0" borderId="12" xfId="0" applyFont="1" applyBorder="1" applyAlignment="1" applyProtection="1">
      <alignment horizontal="center" vertical="center" wrapText="1"/>
      <protection locked="0"/>
    </xf>
    <xf numFmtId="0" fontId="30" fillId="0" borderId="9" xfId="0" applyFont="1" applyBorder="1" applyAlignment="1" applyProtection="1">
      <alignment horizontal="center" vertical="center" wrapText="1"/>
      <protection locked="0"/>
    </xf>
    <xf numFmtId="0" fontId="16" fillId="0" borderId="11" xfId="0" applyFont="1" applyBorder="1" applyAlignment="1" applyProtection="1">
      <alignment horizontal="left" vertical="center" wrapText="1"/>
      <protection locked="0"/>
    </xf>
    <xf numFmtId="0" fontId="16" fillId="0" borderId="10" xfId="0" applyFont="1" applyBorder="1" applyAlignment="1" applyProtection="1">
      <alignment horizontal="left" vertical="center" wrapText="1"/>
      <protection locked="0"/>
    </xf>
    <xf numFmtId="0" fontId="16" fillId="0" borderId="12" xfId="0" applyFont="1" applyBorder="1" applyAlignment="1" applyProtection="1">
      <alignment horizontal="left" vertical="center" wrapText="1"/>
      <protection locked="0"/>
    </xf>
    <xf numFmtId="0" fontId="13" fillId="0" borderId="9" xfId="0" applyFont="1" applyBorder="1" applyAlignment="1" applyProtection="1">
      <alignment horizontal="center" vertical="center" wrapText="1"/>
      <protection locked="0"/>
    </xf>
    <xf numFmtId="0" fontId="18" fillId="0" borderId="9" xfId="0" applyFont="1" applyBorder="1" applyAlignment="1" applyProtection="1">
      <alignment horizontal="center" vertical="center" wrapText="1"/>
      <protection locked="0"/>
    </xf>
    <xf numFmtId="0" fontId="17" fillId="0" borderId="9" xfId="0" applyFont="1" applyBorder="1" applyAlignment="1" applyProtection="1">
      <alignment vertical="center" wrapText="1"/>
      <protection locked="0"/>
    </xf>
    <xf numFmtId="0" fontId="34" fillId="0" borderId="9" xfId="0" applyFont="1" applyBorder="1" applyAlignment="1" applyProtection="1">
      <alignment horizontal="center" vertical="center" wrapText="1"/>
      <protection locked="0"/>
    </xf>
    <xf numFmtId="0" fontId="33" fillId="0" borderId="9" xfId="0" applyFont="1" applyBorder="1" applyAlignment="1" applyProtection="1">
      <alignment horizontal="center" vertical="center" wrapText="1"/>
      <protection locked="0"/>
    </xf>
    <xf numFmtId="0" fontId="16" fillId="0" borderId="11" xfId="0" applyFont="1" applyBorder="1" applyAlignment="1" applyProtection="1">
      <alignment vertical="center" wrapText="1"/>
      <protection locked="0"/>
    </xf>
    <xf numFmtId="0" fontId="16" fillId="0" borderId="10" xfId="0" applyFont="1" applyBorder="1" applyAlignment="1" applyProtection="1">
      <alignment vertical="center" wrapText="1"/>
      <protection locked="0"/>
    </xf>
    <xf numFmtId="0" fontId="16" fillId="0" borderId="12" xfId="0" applyFont="1" applyBorder="1" applyAlignment="1" applyProtection="1">
      <alignment vertical="center" wrapText="1"/>
      <protection locked="0"/>
    </xf>
    <xf numFmtId="0" fontId="34" fillId="0" borderId="11" xfId="0" applyFont="1" applyBorder="1" applyAlignment="1" applyProtection="1">
      <alignment horizontal="center" vertical="center" wrapText="1"/>
      <protection locked="0"/>
    </xf>
    <xf numFmtId="0" fontId="34" fillId="0" borderId="12" xfId="0" applyFont="1" applyBorder="1" applyAlignment="1" applyProtection="1">
      <alignment horizontal="center" vertical="center" wrapText="1"/>
      <protection locked="0"/>
    </xf>
    <xf numFmtId="0" fontId="16" fillId="0" borderId="11" xfId="0" applyFont="1" applyBorder="1" applyAlignment="1" applyProtection="1">
      <alignment horizontal="center" vertical="center" wrapText="1"/>
      <protection locked="0"/>
    </xf>
    <xf numFmtId="0" fontId="16" fillId="0" borderId="12" xfId="0" applyFont="1" applyBorder="1" applyAlignment="1" applyProtection="1">
      <alignment horizontal="center" vertical="center" wrapText="1"/>
      <protection locked="0"/>
    </xf>
    <xf numFmtId="0" fontId="33" fillId="0" borderId="11" xfId="0" applyFont="1" applyBorder="1" applyAlignment="1" applyProtection="1">
      <alignment horizontal="center" vertical="center" wrapText="1"/>
      <protection locked="0"/>
    </xf>
    <xf numFmtId="0" fontId="33" fillId="0" borderId="12" xfId="0" applyFont="1" applyBorder="1" applyAlignment="1" applyProtection="1">
      <alignment horizontal="center" vertical="center" wrapText="1"/>
      <protection locked="0"/>
    </xf>
    <xf numFmtId="0" fontId="32" fillId="0" borderId="11" xfId="0" applyFont="1" applyBorder="1" applyAlignment="1" applyProtection="1">
      <alignment vertical="center" wrapText="1"/>
      <protection locked="0"/>
    </xf>
    <xf numFmtId="0" fontId="32" fillId="0" borderId="12" xfId="0" applyFont="1" applyBorder="1" applyAlignment="1" applyProtection="1">
      <alignment vertical="center" wrapText="1"/>
      <protection locked="0"/>
    </xf>
    <xf numFmtId="0" fontId="16" fillId="0" borderId="11" xfId="0" applyFont="1" applyBorder="1" applyAlignment="1" applyProtection="1">
      <alignment horizontal="left" vertical="center" wrapText="1"/>
      <protection locked="0"/>
    </xf>
    <xf numFmtId="0" fontId="16" fillId="0" borderId="10" xfId="0" applyFont="1" applyBorder="1" applyAlignment="1" applyProtection="1">
      <alignment horizontal="left" vertical="center" wrapText="1"/>
      <protection locked="0"/>
    </xf>
    <xf numFmtId="0" fontId="16" fillId="0" borderId="12" xfId="0" applyFont="1" applyBorder="1" applyAlignment="1" applyProtection="1">
      <alignment horizontal="left" vertical="center" wrapText="1"/>
      <protection locked="0"/>
    </xf>
    <xf numFmtId="0" fontId="15" fillId="0" borderId="11" xfId="0" applyFont="1" applyBorder="1" applyAlignment="1" applyProtection="1">
      <alignment vertical="center" wrapText="1"/>
      <protection locked="0"/>
    </xf>
    <xf numFmtId="0" fontId="15" fillId="0" borderId="12" xfId="0" applyFont="1" applyBorder="1" applyAlignment="1" applyProtection="1">
      <alignment vertical="center" wrapText="1"/>
      <protection locked="0"/>
    </xf>
    <xf numFmtId="0" fontId="16" fillId="0" borderId="10" xfId="0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0" fontId="6" fillId="0" borderId="10" xfId="0" applyFont="1" applyBorder="1" applyAlignment="1" applyProtection="1">
      <alignment horizontal="center" vertical="center" wrapText="1"/>
      <protection locked="0"/>
    </xf>
    <xf numFmtId="0" fontId="6" fillId="0" borderId="12" xfId="0" applyFont="1" applyBorder="1" applyAlignment="1" applyProtection="1">
      <alignment horizontal="center" vertical="center" wrapText="1"/>
      <protection locked="0"/>
    </xf>
    <xf numFmtId="0" fontId="11" fillId="3" borderId="5" xfId="0" applyFont="1" applyFill="1" applyBorder="1" applyAlignment="1">
      <alignment horizontal="center" vertical="center" wrapText="1"/>
    </xf>
    <xf numFmtId="0" fontId="11" fillId="3" borderId="6" xfId="0" applyFont="1" applyFill="1" applyBorder="1" applyAlignment="1">
      <alignment horizontal="center" vertical="center" wrapText="1"/>
    </xf>
    <xf numFmtId="0" fontId="11" fillId="3" borderId="7" xfId="0" applyFont="1" applyFill="1" applyBorder="1" applyAlignment="1">
      <alignment horizontal="center" vertical="center" wrapText="1"/>
    </xf>
    <xf numFmtId="0" fontId="11" fillId="3" borderId="9" xfId="0" applyFont="1" applyFill="1" applyBorder="1" applyAlignment="1">
      <alignment horizontal="center" vertical="center" wrapText="1"/>
    </xf>
    <xf numFmtId="0" fontId="12" fillId="3" borderId="7" xfId="0" applyFont="1" applyFill="1" applyBorder="1" applyAlignment="1">
      <alignment horizontal="center" vertical="center" wrapText="1"/>
    </xf>
    <xf numFmtId="0" fontId="12" fillId="3" borderId="8" xfId="0" applyFont="1" applyFill="1" applyBorder="1" applyAlignment="1">
      <alignment horizontal="center" vertical="center" wrapText="1"/>
    </xf>
    <xf numFmtId="0" fontId="12" fillId="3" borderId="9" xfId="0" applyFont="1" applyFill="1" applyBorder="1" applyAlignment="1">
      <alignment horizontal="center" vertical="center" wrapText="1"/>
    </xf>
    <xf numFmtId="0" fontId="11" fillId="3" borderId="11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1" fillId="3" borderId="12" xfId="0" applyFont="1" applyFill="1" applyBorder="1" applyAlignment="1">
      <alignment horizontal="center" vertical="center" wrapText="1"/>
    </xf>
    <xf numFmtId="0" fontId="15" fillId="0" borderId="11" xfId="0" applyFont="1" applyBorder="1" applyAlignment="1" applyProtection="1">
      <alignment horizontal="center" vertical="center" wrapText="1"/>
      <protection locked="0"/>
    </xf>
    <xf numFmtId="0" fontId="15" fillId="0" borderId="10" xfId="0" applyFont="1" applyBorder="1" applyAlignment="1" applyProtection="1">
      <alignment horizontal="center" vertical="center" wrapText="1"/>
      <protection locked="0"/>
    </xf>
    <xf numFmtId="0" fontId="15" fillId="0" borderId="12" xfId="0" applyFont="1" applyBorder="1" applyAlignment="1" applyProtection="1">
      <alignment horizontal="center" vertical="center" wrapText="1"/>
      <protection locked="0"/>
    </xf>
    <xf numFmtId="14" fontId="33" fillId="0" borderId="11" xfId="0" applyNumberFormat="1" applyFont="1" applyBorder="1" applyAlignment="1" applyProtection="1">
      <alignment horizontal="center" vertical="center" wrapText="1"/>
      <protection locked="0"/>
    </xf>
    <xf numFmtId="0" fontId="33" fillId="0" borderId="10" xfId="0" applyFont="1" applyBorder="1" applyAlignment="1" applyProtection="1">
      <alignment horizontal="center" vertical="center" wrapText="1"/>
      <protection locked="0"/>
    </xf>
    <xf numFmtId="14" fontId="13" fillId="0" borderId="11" xfId="0" applyNumberFormat="1" applyFont="1" applyBorder="1" applyAlignment="1" applyProtection="1">
      <alignment horizontal="center" vertical="center" wrapText="1"/>
      <protection locked="0"/>
    </xf>
    <xf numFmtId="0" fontId="13" fillId="0" borderId="10" xfId="0" applyFont="1" applyBorder="1" applyAlignment="1" applyProtection="1">
      <alignment horizontal="center" vertical="center" wrapText="1"/>
      <protection locked="0"/>
    </xf>
    <xf numFmtId="0" fontId="13" fillId="0" borderId="12" xfId="0" applyFont="1" applyBorder="1" applyAlignment="1" applyProtection="1">
      <alignment horizontal="center" vertical="center" wrapText="1"/>
      <protection locked="0"/>
    </xf>
    <xf numFmtId="0" fontId="13" fillId="0" borderId="11" xfId="0" applyFont="1" applyBorder="1" applyAlignment="1" applyProtection="1">
      <alignment horizontal="center" vertical="center" wrapText="1"/>
      <protection locked="0"/>
    </xf>
    <xf numFmtId="0" fontId="35" fillId="0" borderId="11" xfId="0" applyFont="1" applyBorder="1" applyAlignment="1" applyProtection="1">
      <alignment horizontal="center" vertical="center" wrapText="1"/>
      <protection locked="0"/>
    </xf>
    <xf numFmtId="0" fontId="35" fillId="0" borderId="10" xfId="0" applyFont="1" applyBorder="1" applyAlignment="1" applyProtection="1">
      <alignment horizontal="center" vertical="center" wrapText="1"/>
      <protection locked="0"/>
    </xf>
    <xf numFmtId="0" fontId="35" fillId="0" borderId="12" xfId="0" applyFont="1" applyBorder="1" applyAlignment="1" applyProtection="1">
      <alignment horizontal="center" vertical="center" wrapText="1"/>
      <protection locked="0"/>
    </xf>
    <xf numFmtId="0" fontId="12" fillId="3" borderId="5" xfId="0" applyFont="1" applyFill="1" applyBorder="1" applyAlignment="1">
      <alignment horizontal="center" vertical="center" wrapText="1"/>
    </xf>
    <xf numFmtId="0" fontId="12" fillId="3" borderId="6" xfId="0" applyFont="1" applyFill="1" applyBorder="1" applyAlignment="1">
      <alignment horizontal="center" vertical="center" wrapText="1"/>
    </xf>
    <xf numFmtId="0" fontId="11" fillId="3" borderId="8" xfId="0" applyFont="1" applyFill="1" applyBorder="1" applyAlignment="1">
      <alignment horizontal="center" vertical="center" wrapText="1"/>
    </xf>
    <xf numFmtId="0" fontId="14" fillId="0" borderId="11" xfId="0" applyFont="1" applyBorder="1" applyAlignment="1" applyProtection="1">
      <alignment horizontal="center" vertical="center" wrapText="1"/>
      <protection locked="0"/>
    </xf>
    <xf numFmtId="0" fontId="14" fillId="0" borderId="12" xfId="0" applyFont="1" applyBorder="1" applyAlignment="1" applyProtection="1">
      <alignment horizontal="center" vertical="center" wrapText="1"/>
      <protection locked="0"/>
    </xf>
    <xf numFmtId="0" fontId="10" fillId="3" borderId="5" xfId="0" applyFont="1" applyFill="1" applyBorder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10" fillId="3" borderId="6" xfId="0" applyFont="1" applyFill="1" applyBorder="1" applyAlignment="1">
      <alignment horizontal="center" vertical="center" wrapText="1"/>
    </xf>
    <xf numFmtId="0" fontId="10" fillId="3" borderId="7" xfId="0" applyFont="1" applyFill="1" applyBorder="1" applyAlignment="1">
      <alignment horizontal="center" vertical="center" wrapText="1"/>
    </xf>
    <xf numFmtId="0" fontId="10" fillId="3" borderId="8" xfId="0" applyFont="1" applyFill="1" applyBorder="1" applyAlignment="1">
      <alignment horizontal="center" vertical="center" wrapText="1"/>
    </xf>
    <xf numFmtId="0" fontId="10" fillId="3" borderId="9" xfId="0" applyFont="1" applyFill="1" applyBorder="1" applyAlignment="1">
      <alignment horizontal="center" vertical="center" wrapText="1"/>
    </xf>
    <xf numFmtId="0" fontId="11" fillId="3" borderId="24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  <xf numFmtId="0" fontId="2" fillId="0" borderId="21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6" xfId="0" applyFont="1" applyBorder="1" applyAlignment="1">
      <alignment horizontal="center"/>
    </xf>
    <xf numFmtId="0" fontId="2" fillId="0" borderId="23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2" fillId="0" borderId="6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8" fillId="0" borderId="0" xfId="0" applyFont="1" applyAlignment="1">
      <alignment horizontal="left"/>
    </xf>
    <xf numFmtId="0" fontId="8" fillId="0" borderId="6" xfId="0" applyFont="1" applyBorder="1" applyAlignment="1">
      <alignment horizontal="left"/>
    </xf>
    <xf numFmtId="14" fontId="7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6" xfId="0" applyFont="1" applyBorder="1" applyAlignment="1">
      <alignment horizontal="left"/>
    </xf>
  </cellXfs>
  <cellStyles count="18">
    <cellStyle name="Moeda [0] 2" xfId="8" xr:uid="{00000000-0005-0000-0000-000001000000}"/>
    <cellStyle name="Moeda 2" xfId="1" xr:uid="{00000000-0005-0000-0000-000002000000}"/>
    <cellStyle name="Moeda 3" xfId="9" xr:uid="{00000000-0005-0000-0000-000003000000}"/>
    <cellStyle name="Normal" xfId="0" builtinId="0"/>
    <cellStyle name="Normal 2" xfId="2" xr:uid="{00000000-0005-0000-0000-000005000000}"/>
    <cellStyle name="Normal 3" xfId="3" xr:uid="{00000000-0005-0000-0000-000006000000}"/>
    <cellStyle name="Normal 4" xfId="7" xr:uid="{00000000-0005-0000-0000-000007000000}"/>
    <cellStyle name="Normal 5" xfId="16" xr:uid="{00000000-0005-0000-0000-000008000000}"/>
    <cellStyle name="Normal 6" xfId="17" xr:uid="{00000000-0005-0000-0000-000009000000}"/>
    <cellStyle name="Separador de milhares 2" xfId="4" xr:uid="{00000000-0005-0000-0000-00000B000000}"/>
    <cellStyle name="Separador de milhares 3" xfId="5" xr:uid="{00000000-0005-0000-0000-00000C000000}"/>
    <cellStyle name="Título 1 1" xfId="6" xr:uid="{00000000-0005-0000-0000-00000D000000}"/>
    <cellStyle name="Título 1 2" xfId="14" xr:uid="{00000000-0005-0000-0000-00000E000000}"/>
    <cellStyle name="Título 2 2" xfId="13" xr:uid="{00000000-0005-0000-0000-00000F000000}"/>
    <cellStyle name="Título 3 2" xfId="12" xr:uid="{00000000-0005-0000-0000-000010000000}"/>
    <cellStyle name="Título 4 2" xfId="11" xr:uid="{00000000-0005-0000-0000-000011000000}"/>
    <cellStyle name="Título 5" xfId="15" xr:uid="{00000000-0005-0000-0000-000012000000}"/>
    <cellStyle name="Total 2" xfId="10" xr:uid="{00000000-0005-0000-0000-000013000000}"/>
  </cellStyles>
  <dxfs count="14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" formatCode="0"/>
    </dxf>
    <dxf>
      <numFmt numFmtId="13" formatCode="0%"/>
    </dxf>
    <dxf>
      <numFmt numFmtId="1" formatCode="0"/>
    </dxf>
    <dxf>
      <font>
        <b/>
        <color theme="1"/>
      </font>
      <border>
        <bottom style="thin">
          <color theme="4"/>
        </bottom>
        <vertical/>
        <horizontal/>
      </border>
    </dxf>
    <dxf>
      <fill>
        <patternFill>
          <fgColor theme="0" tint="-4.9989318521683403E-2"/>
        </patternFill>
      </fill>
    </dxf>
    <dxf>
      <font>
        <b/>
        <color theme="1"/>
      </font>
      <border>
        <bottom style="thin">
          <color theme="4"/>
        </bottom>
        <vertical/>
        <horizontal/>
      </border>
    </dxf>
    <dxf>
      <fill>
        <patternFill>
          <fgColor theme="0" tint="-4.9989318521683403E-2"/>
        </patternFill>
      </fill>
    </dxf>
    <dxf>
      <fill>
        <patternFill>
          <bgColor theme="2"/>
        </patternFill>
      </fill>
    </dxf>
    <dxf>
      <font>
        <color theme="0" tint="-4.9989318521683403E-2"/>
      </font>
      <fill>
        <patternFill>
          <bgColor theme="1" tint="0.24994659260841701"/>
        </patternFill>
      </fill>
    </dxf>
    <dxf>
      <font>
        <b val="0"/>
        <i val="0"/>
        <color theme="0" tint="-4.9989318521683403E-2"/>
      </font>
      <fill>
        <patternFill>
          <fgColor theme="1" tint="0.14996795556505021"/>
          <bgColor theme="1" tint="0.14996795556505021"/>
        </patternFill>
      </fill>
    </dxf>
    <dxf>
      <font>
        <color theme="3"/>
      </font>
      <fill>
        <patternFill patternType="none">
          <bgColor auto="1"/>
        </patternFill>
      </fill>
      <border>
        <vertical/>
      </border>
    </dxf>
    <dxf>
      <font>
        <color theme="0"/>
      </font>
      <fill>
        <patternFill>
          <bgColor theme="1" tint="0.14996795556505021"/>
        </patternFill>
      </fill>
    </dxf>
  </dxfs>
  <tableStyles count="4" defaultTableStyle="TableStyleMedium2" defaultPivotStyle="PivotStyleLight16">
    <tableStyle name="Estilo de Segmentação de Dados 1" pivot="0" table="0" count="3" xr9:uid="{00000000-0011-0000-FFFF-FFFF00000000}">
      <tableStyleElement type="wholeTable" dxfId="13"/>
    </tableStyle>
    <tableStyle name="Household Expense Table" pivot="0" count="4" xr9:uid="{00000000-0011-0000-FFFF-FFFF01000000}">
      <tableStyleElement type="wholeTable" dxfId="12"/>
      <tableStyleElement type="headerRow" dxfId="11"/>
      <tableStyleElement type="totalRow" dxfId="10"/>
      <tableStyleElement type="secondRowStripe" dxfId="9"/>
    </tableStyle>
    <tableStyle name="SlicerStyleLight1 2" pivot="0" table="0" count="10" xr9:uid="{00000000-0011-0000-FFFF-FFFF02000000}">
      <tableStyleElement type="wholeTable" dxfId="8"/>
      <tableStyleElement type="headerRow" dxfId="7"/>
    </tableStyle>
    <tableStyle name="SlicerStyleLight1 2 2" pivot="0" table="0" count="10" xr9:uid="{00000000-0011-0000-FFFF-FFFF03000000}">
      <tableStyleElement type="wholeTable" dxfId="6"/>
      <tableStyleElement type="headerRow" dxfId="5"/>
    </tableStyle>
  </tableStyles>
  <colors>
    <mruColors>
      <color rgb="FF000099"/>
      <color rgb="FFFFFFFF"/>
      <color rgb="FFFF0000"/>
      <color rgb="FFFF6699"/>
      <color rgb="FF0A15EC"/>
      <color rgb="FF080808"/>
    </mruColors>
  </colors>
  <extLst>
    <ext xmlns:x14="http://schemas.microsoft.com/office/spreadsheetml/2009/9/main" uri="{46F421CA-312F-682f-3DD2-61675219B42D}">
      <x14:dxfs count="1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2" tint="-0.749961851863155"/>
          </font>
          <fill>
            <patternFill>
              <bgColor theme="0"/>
            </patternFill>
          </fill>
        </dxf>
        <dxf>
          <font>
            <color theme="2" tint="-0.749961851863155"/>
          </font>
          <fill>
            <patternFill>
              <bgColor theme="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7"/>
            <x14:slicerStyleElement type="hoveredSelectedItemWithData" dxfId="16"/>
          </x14:slicerStyleElements>
        </x14:slicerStyle>
        <x14:slicerStyle name="SlicerStyleLight1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1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[ficha epi.xlsm]DADOS!Tabela dinâmica17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4257028112449802E-3"/>
          <c:y val="1.6816820793270622E-2"/>
          <c:w val="0.98875502008032123"/>
          <c:h val="0.4886474873253144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DADOS!$B$23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DADOS!$A$24:$A$40</c:f>
              <c:strCache>
                <c:ptCount val="16"/>
                <c:pt idx="0">
                  <c:v>ARMADOR</c:v>
                </c:pt>
                <c:pt idx="1">
                  <c:v>ASSISTENTE ADMINISTRATIVO</c:v>
                </c:pt>
                <c:pt idx="2">
                  <c:v>AUX. DE SERVIÇOS GERAIS</c:v>
                </c:pt>
                <c:pt idx="3">
                  <c:v>CABO DE TURMA DE ARMADOR</c:v>
                </c:pt>
                <c:pt idx="4">
                  <c:v>CABO DE TURMA DE CARP.</c:v>
                </c:pt>
                <c:pt idx="5">
                  <c:v>CABO DE TURMA DE SERVENTES</c:v>
                </c:pt>
                <c:pt idx="6">
                  <c:v>CARPINTEIRO</c:v>
                </c:pt>
                <c:pt idx="7">
                  <c:v>ENCARREGADO ADMINISTRATIVO</c:v>
                </c:pt>
                <c:pt idx="8">
                  <c:v>ENCARREGADO DE ELÉTRICA</c:v>
                </c:pt>
                <c:pt idx="9">
                  <c:v>ENCARREGADO DE OBRAS</c:v>
                </c:pt>
                <c:pt idx="10">
                  <c:v>ENGENHEIRO</c:v>
                </c:pt>
                <c:pt idx="11">
                  <c:v>OPERADOR DE BETONEIRA</c:v>
                </c:pt>
                <c:pt idx="12">
                  <c:v>PEDREIRO</c:v>
                </c:pt>
                <c:pt idx="13">
                  <c:v>SERVENTE COMUM</c:v>
                </c:pt>
                <c:pt idx="14">
                  <c:v>SERVENTE PRATICO DE PEDREIRO</c:v>
                </c:pt>
                <c:pt idx="15">
                  <c:v>VIGIA</c:v>
                </c:pt>
              </c:strCache>
            </c:strRef>
          </c:cat>
          <c:val>
            <c:numRef>
              <c:f>DADOS!$B$24:$B$40</c:f>
              <c:numCache>
                <c:formatCode>General</c:formatCode>
                <c:ptCount val="16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8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8</c:v>
                </c:pt>
                <c:pt idx="13">
                  <c:v>24</c:v>
                </c:pt>
                <c:pt idx="14">
                  <c:v>1</c:v>
                </c:pt>
                <c:pt idx="1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AC-42C9-A20D-23153D97D2B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-1948548224"/>
        <c:axId val="-1948539520"/>
        <c:axId val="0"/>
      </c:bar3DChart>
      <c:catAx>
        <c:axId val="-1948548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3000000" spcFirstLastPara="1" vertOverflow="ellipsis" wrap="square" anchor="t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48539520"/>
        <c:crosses val="autoZero"/>
        <c:auto val="1"/>
        <c:lblAlgn val="ctr"/>
        <c:lblOffset val="100"/>
        <c:noMultiLvlLbl val="0"/>
      </c:catAx>
      <c:valAx>
        <c:axId val="-19485395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-194854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>
      <a:outerShdw blurRad="50800" dist="50800" dir="5400000" sx="2000" sy="2000" algn="ctr" rotWithShape="0">
        <a:srgbClr val="000000">
          <a:alpha val="43137"/>
        </a:srgb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[ficha epi.xlsm]DADOS!Tabela dinâmica19</c:name>
    <c:fmtId val="32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DADOS!$F$24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DADOS!$E$25:$E$41</c:f>
              <c:strCache>
                <c:ptCount val="16"/>
                <c:pt idx="0">
                  <c:v>ARMADOR</c:v>
                </c:pt>
                <c:pt idx="1">
                  <c:v>ASSISTENTE ADMINISTRATIVO</c:v>
                </c:pt>
                <c:pt idx="2">
                  <c:v>AUX. DE SERVIÇOS GERAIS</c:v>
                </c:pt>
                <c:pt idx="3">
                  <c:v>CABO DE TURMA DE ARMADOR</c:v>
                </c:pt>
                <c:pt idx="4">
                  <c:v>CABO DE TURMA DE CARP.</c:v>
                </c:pt>
                <c:pt idx="5">
                  <c:v>CABO DE TURMA DE SERVENTES</c:v>
                </c:pt>
                <c:pt idx="6">
                  <c:v>CARPINTEIRO</c:v>
                </c:pt>
                <c:pt idx="7">
                  <c:v>ENCARREGADO ADMINISTRATIVO</c:v>
                </c:pt>
                <c:pt idx="8">
                  <c:v>ENCARREGADO DE ELÉTRICA</c:v>
                </c:pt>
                <c:pt idx="9">
                  <c:v>ENCARREGADO DE OBRAS</c:v>
                </c:pt>
                <c:pt idx="10">
                  <c:v>ENGENHEIRO</c:v>
                </c:pt>
                <c:pt idx="11">
                  <c:v>OPERADOR DE BETONEIRA</c:v>
                </c:pt>
                <c:pt idx="12">
                  <c:v>PEDREIRO</c:v>
                </c:pt>
                <c:pt idx="13">
                  <c:v>SERVENTE COMUM</c:v>
                </c:pt>
                <c:pt idx="14">
                  <c:v>SERVENTE PRATICO DE PEDREIRO</c:v>
                </c:pt>
                <c:pt idx="15">
                  <c:v>VIGIA</c:v>
                </c:pt>
              </c:strCache>
            </c:strRef>
          </c:cat>
          <c:val>
            <c:numRef>
              <c:f>DADOS!$F$25:$F$41</c:f>
              <c:numCache>
                <c:formatCode>0</c:formatCode>
                <c:ptCount val="16"/>
                <c:pt idx="0">
                  <c:v>27.5</c:v>
                </c:pt>
                <c:pt idx="1">
                  <c:v>40</c:v>
                </c:pt>
                <c:pt idx="2">
                  <c:v>37</c:v>
                </c:pt>
                <c:pt idx="3">
                  <c:v>30</c:v>
                </c:pt>
                <c:pt idx="4">
                  <c:v>31</c:v>
                </c:pt>
                <c:pt idx="5">
                  <c:v>25</c:v>
                </c:pt>
                <c:pt idx="6">
                  <c:v>35.125</c:v>
                </c:pt>
                <c:pt idx="7">
                  <c:v>31</c:v>
                </c:pt>
                <c:pt idx="8">
                  <c:v>37</c:v>
                </c:pt>
                <c:pt idx="9">
                  <c:v>38</c:v>
                </c:pt>
                <c:pt idx="10">
                  <c:v>27</c:v>
                </c:pt>
                <c:pt idx="11">
                  <c:v>33</c:v>
                </c:pt>
                <c:pt idx="12">
                  <c:v>42.5</c:v>
                </c:pt>
                <c:pt idx="13">
                  <c:v>31.416666666666668</c:v>
                </c:pt>
                <c:pt idx="14">
                  <c:v>47</c:v>
                </c:pt>
                <c:pt idx="15">
                  <c:v>43.5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41-40BE-BF53-38FA84F5FD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948544416"/>
        <c:axId val="-1948542240"/>
      </c:lineChart>
      <c:catAx>
        <c:axId val="-1948544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48542240"/>
        <c:crosses val="autoZero"/>
        <c:auto val="1"/>
        <c:lblAlgn val="ctr"/>
        <c:lblOffset val="100"/>
        <c:noMultiLvlLbl val="0"/>
      </c:catAx>
      <c:valAx>
        <c:axId val="-1948542240"/>
        <c:scaling>
          <c:orientation val="minMax"/>
        </c:scaling>
        <c:delete val="1"/>
        <c:axPos val="l"/>
        <c:numFmt formatCode="0" sourceLinked="1"/>
        <c:majorTickMark val="out"/>
        <c:minorTickMark val="none"/>
        <c:tickLblPos val="nextTo"/>
        <c:crossAx val="-194854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27214</xdr:colOff>
      <xdr:row>0</xdr:row>
      <xdr:rowOff>68036</xdr:rowOff>
    </xdr:from>
    <xdr:to>
      <xdr:col>4</xdr:col>
      <xdr:colOff>217714</xdr:colOff>
      <xdr:row>13</xdr:row>
      <xdr:rowOff>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B39D0B4-AF0E-DF90-3BB5-0E552CAE225C}"/>
            </a:ext>
          </a:extLst>
        </xdr:cNvPr>
        <xdr:cNvSpPr/>
      </xdr:nvSpPr>
      <xdr:spPr bwMode="auto">
        <a:xfrm>
          <a:off x="27214" y="68036"/>
          <a:ext cx="2639786" cy="2054678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438150</xdr:colOff>
      <xdr:row>0</xdr:row>
      <xdr:rowOff>70757</xdr:rowOff>
    </xdr:from>
    <xdr:to>
      <xdr:col>29</xdr:col>
      <xdr:colOff>136073</xdr:colOff>
      <xdr:row>25</xdr:row>
      <xdr:rowOff>95250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BAAFA6-85A5-48FD-8230-638B4EDD5327}"/>
            </a:ext>
          </a:extLst>
        </xdr:cNvPr>
        <xdr:cNvSpPr/>
      </xdr:nvSpPr>
      <xdr:spPr bwMode="auto">
        <a:xfrm>
          <a:off x="2887436" y="70757"/>
          <a:ext cx="15005958" cy="4106636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87087</xdr:colOff>
      <xdr:row>13</xdr:row>
      <xdr:rowOff>100694</xdr:rowOff>
    </xdr:from>
    <xdr:to>
      <xdr:col>4</xdr:col>
      <xdr:colOff>381001</xdr:colOff>
      <xdr:row>25</xdr:row>
      <xdr:rowOff>27215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D5E75CC9-3E01-481B-ADD2-8E6F02F22C93}"/>
            </a:ext>
          </a:extLst>
        </xdr:cNvPr>
        <xdr:cNvSpPr/>
      </xdr:nvSpPr>
      <xdr:spPr bwMode="auto">
        <a:xfrm>
          <a:off x="87087" y="2223408"/>
          <a:ext cx="2743200" cy="1885950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144236</xdr:colOff>
      <xdr:row>25</xdr:row>
      <xdr:rowOff>130627</xdr:rowOff>
    </xdr:from>
    <xdr:to>
      <xdr:col>10</xdr:col>
      <xdr:colOff>381000</xdr:colOff>
      <xdr:row>48</xdr:row>
      <xdr:rowOff>13607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4FD85ED-F213-4307-ACF3-CF8B5CE7476D}"/>
            </a:ext>
          </a:extLst>
        </xdr:cNvPr>
        <xdr:cNvSpPr/>
      </xdr:nvSpPr>
      <xdr:spPr bwMode="auto">
        <a:xfrm>
          <a:off x="144236" y="4212770"/>
          <a:ext cx="6359978" cy="3638551"/>
        </a:xfrm>
        <a:prstGeom prst="roundRect">
          <a:avLst/>
        </a:prstGeom>
        <a:solidFill>
          <a:schemeClr val="tx1">
            <a:lumMod val="85000"/>
            <a:lumOff val="1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378599</xdr:colOff>
      <xdr:row>15</xdr:row>
      <xdr:rowOff>801</xdr:rowOff>
    </xdr:from>
    <xdr:to>
      <xdr:col>0</xdr:col>
      <xdr:colOff>378599</xdr:colOff>
      <xdr:row>16</xdr:row>
      <xdr:rowOff>94852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9B5C212F-B13D-EADB-174B-1D8A66BA7113}"/>
            </a:ext>
          </a:extLst>
        </xdr:cNvPr>
        <xdr:cNvCxnSpPr/>
      </xdr:nvCxnSpPr>
      <xdr:spPr bwMode="auto">
        <a:xfrm>
          <a:off x="378599" y="2450087"/>
          <a:ext cx="0" cy="257336"/>
        </a:xfrm>
        <a:prstGeom prst="line">
          <a:avLst/>
        </a:prstGeom>
        <a:ln w="28575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434149</xdr:colOff>
      <xdr:row>27</xdr:row>
      <xdr:rowOff>87567</xdr:rowOff>
    </xdr:from>
    <xdr:to>
      <xdr:col>0</xdr:col>
      <xdr:colOff>434149</xdr:colOff>
      <xdr:row>30</xdr:row>
      <xdr:rowOff>76361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8CEE2FC5-56EF-441C-8420-87F642BA50EF}"/>
            </a:ext>
          </a:extLst>
        </xdr:cNvPr>
        <xdr:cNvCxnSpPr/>
      </xdr:nvCxnSpPr>
      <xdr:spPr bwMode="auto">
        <a:xfrm>
          <a:off x="434149" y="4496281"/>
          <a:ext cx="0" cy="478651"/>
        </a:xfrm>
        <a:prstGeom prst="line">
          <a:avLst/>
        </a:prstGeom>
        <a:ln w="28575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136713</xdr:colOff>
      <xdr:row>1</xdr:row>
      <xdr:rowOff>91890</xdr:rowOff>
    </xdr:from>
    <xdr:to>
      <xdr:col>5</xdr:col>
      <xdr:colOff>136713</xdr:colOff>
      <xdr:row>4</xdr:row>
      <xdr:rowOff>80684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1DC8764A-CE81-46B7-BC97-1878A5913678}"/>
            </a:ext>
          </a:extLst>
        </xdr:cNvPr>
        <xdr:cNvCxnSpPr/>
      </xdr:nvCxnSpPr>
      <xdr:spPr bwMode="auto">
        <a:xfrm>
          <a:off x="3162301" y="248772"/>
          <a:ext cx="0" cy="459441"/>
        </a:xfrm>
        <a:prstGeom prst="line">
          <a:avLst/>
        </a:prstGeom>
        <a:ln w="28575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244289</xdr:colOff>
      <xdr:row>1</xdr:row>
      <xdr:rowOff>53790</xdr:rowOff>
    </xdr:from>
    <xdr:to>
      <xdr:col>0</xdr:col>
      <xdr:colOff>244289</xdr:colOff>
      <xdr:row>4</xdr:row>
      <xdr:rowOff>42584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0B6C1544-D6D2-406F-B2BE-A928B5E7C9CC}"/>
            </a:ext>
          </a:extLst>
        </xdr:cNvPr>
        <xdr:cNvCxnSpPr/>
      </xdr:nvCxnSpPr>
      <xdr:spPr bwMode="auto">
        <a:xfrm>
          <a:off x="244289" y="210672"/>
          <a:ext cx="0" cy="459441"/>
        </a:xfrm>
        <a:prstGeom prst="line">
          <a:avLst/>
        </a:prstGeom>
        <a:ln w="28575"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156882</xdr:colOff>
      <xdr:row>1</xdr:row>
      <xdr:rowOff>112059</xdr:rowOff>
    </xdr:from>
    <xdr:ext cx="2129117" cy="376619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AD15120-583E-62C2-8A57-75632BC11922}"/>
            </a:ext>
          </a:extLst>
        </xdr:cNvPr>
        <xdr:cNvSpPr txBox="1"/>
      </xdr:nvSpPr>
      <xdr:spPr>
        <a:xfrm>
          <a:off x="3218489" y="275345"/>
          <a:ext cx="2129117" cy="3766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1600" b="1" baseline="0">
              <a:solidFill>
                <a:schemeClr val="bg1"/>
              </a:solidFill>
            </a:rPr>
            <a:t>Quantidade por Função</a:t>
          </a:r>
          <a:endParaRPr lang="pt-BR" sz="1600" b="1">
            <a:solidFill>
              <a:schemeClr val="bg1"/>
            </a:solidFill>
          </a:endParaRPr>
        </a:p>
      </xdr:txBody>
    </xdr:sp>
    <xdr:clientData/>
  </xdr:oneCellAnchor>
  <xdr:oneCellAnchor>
    <xdr:from>
      <xdr:col>0</xdr:col>
      <xdr:colOff>253253</xdr:colOff>
      <xdr:row>1</xdr:row>
      <xdr:rowOff>107577</xdr:rowOff>
    </xdr:from>
    <xdr:ext cx="2019140" cy="376619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EC7CDC48-E636-418A-BCAC-1B683ED5CAE8}"/>
            </a:ext>
          </a:extLst>
        </xdr:cNvPr>
        <xdr:cNvSpPr txBox="1"/>
      </xdr:nvSpPr>
      <xdr:spPr>
        <a:xfrm>
          <a:off x="253253" y="270863"/>
          <a:ext cx="2019140" cy="3766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1600" b="1">
              <a:solidFill>
                <a:schemeClr val="bg1"/>
              </a:solidFill>
            </a:rPr>
            <a:t>Total</a:t>
          </a:r>
          <a:r>
            <a:rPr lang="pt-BR" sz="1600" b="1" baseline="0">
              <a:solidFill>
                <a:schemeClr val="bg1"/>
              </a:solidFill>
            </a:rPr>
            <a:t> de Funcionários</a:t>
          </a:r>
        </a:p>
      </xdr:txBody>
    </xdr:sp>
    <xdr:clientData/>
  </xdr:oneCellAnchor>
  <xdr:oneCellAnchor>
    <xdr:from>
      <xdr:col>0</xdr:col>
      <xdr:colOff>435269</xdr:colOff>
      <xdr:row>27</xdr:row>
      <xdr:rowOff>111099</xdr:rowOff>
    </xdr:from>
    <xdr:ext cx="1860176" cy="376619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D089A7DD-4C17-43AE-9B56-A1298CA9406B}"/>
            </a:ext>
          </a:extLst>
        </xdr:cNvPr>
        <xdr:cNvSpPr txBox="1"/>
      </xdr:nvSpPr>
      <xdr:spPr>
        <a:xfrm>
          <a:off x="435269" y="4519813"/>
          <a:ext cx="1860176" cy="3766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pt-BR" sz="1600" b="1">
              <a:solidFill>
                <a:schemeClr val="bg1"/>
              </a:solidFill>
            </a:rPr>
            <a:t>Média</a:t>
          </a:r>
          <a:r>
            <a:rPr lang="pt-BR" sz="1600" b="1" baseline="0">
              <a:solidFill>
                <a:schemeClr val="bg1"/>
              </a:solidFill>
            </a:rPr>
            <a:t> de Idade</a:t>
          </a:r>
          <a:endParaRPr lang="pt-BR" sz="1600" b="1">
            <a:solidFill>
              <a:schemeClr val="bg1"/>
            </a:solidFill>
          </a:endParaRPr>
        </a:p>
      </xdr:txBody>
    </xdr:sp>
    <xdr:clientData/>
  </xdr:oneCellAnchor>
  <xdr:twoCellAnchor>
    <xdr:from>
      <xdr:col>4</xdr:col>
      <xdr:colOff>489857</xdr:colOff>
      <xdr:row>1</xdr:row>
      <xdr:rowOff>54429</xdr:rowOff>
    </xdr:from>
    <xdr:to>
      <xdr:col>29</xdr:col>
      <xdr:colOff>95250</xdr:colOff>
      <xdr:row>25</xdr:row>
      <xdr:rowOff>95250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C398BA59-7BB3-4EC1-859A-BDF7FCC76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190501</xdr:colOff>
      <xdr:row>31</xdr:row>
      <xdr:rowOff>40821</xdr:rowOff>
    </xdr:from>
    <xdr:to>
      <xdr:col>10</xdr:col>
      <xdr:colOff>326573</xdr:colOff>
      <xdr:row>49</xdr:row>
      <xdr:rowOff>149678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646121BB-0D00-4C17-965B-5C4AFE0F7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503464</xdr:colOff>
      <xdr:row>7</xdr:row>
      <xdr:rowOff>95249</xdr:rowOff>
    </xdr:from>
    <xdr:to>
      <xdr:col>4</xdr:col>
      <xdr:colOff>95249</xdr:colOff>
      <xdr:row>12</xdr:row>
      <xdr:rowOff>95248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60FE23C5-8A27-1F65-54ED-363BEDEF55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8107" y="1238249"/>
          <a:ext cx="816428" cy="816428"/>
        </a:xfrm>
        <a:prstGeom prst="rect">
          <a:avLst/>
        </a:prstGeom>
      </xdr:spPr>
    </xdr:pic>
    <xdr:clientData/>
  </xdr:twoCellAnchor>
  <xdr:twoCellAnchor>
    <xdr:from>
      <xdr:col>0</xdr:col>
      <xdr:colOff>100691</xdr:colOff>
      <xdr:row>4</xdr:row>
      <xdr:rowOff>95250</xdr:rowOff>
    </xdr:from>
    <xdr:to>
      <xdr:col>2</xdr:col>
      <xdr:colOff>476250</xdr:colOff>
      <xdr:row>11</xdr:row>
      <xdr:rowOff>68035</xdr:rowOff>
    </xdr:to>
    <xdr:sp macro="" textlink="DADOS!B20">
      <xdr:nvSpPr>
        <xdr:cNvPr id="28" name="CaixaDeTexto 27">
          <a:extLst>
            <a:ext uri="{FF2B5EF4-FFF2-40B4-BE49-F238E27FC236}">
              <a16:creationId xmlns:a16="http://schemas.microsoft.com/office/drawing/2014/main" id="{51FA33AB-6CC2-D109-D9BB-B71D60C029BD}"/>
            </a:ext>
          </a:extLst>
        </xdr:cNvPr>
        <xdr:cNvSpPr txBox="1"/>
      </xdr:nvSpPr>
      <xdr:spPr>
        <a:xfrm>
          <a:off x="100691" y="748393"/>
          <a:ext cx="1600202" cy="1115785"/>
        </a:xfrm>
        <a:prstGeom prst="round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631C948-44A3-4B6A-8EC2-8AC110807883}" type="TxLink">
            <a:rPr lang="en-US" sz="4800" b="0" i="0" u="none" strike="noStrike">
              <a:solidFill>
                <a:schemeClr val="bg1"/>
              </a:solidFill>
              <a:latin typeface="Arial Black" panose="020B0A04020102020204" pitchFamily="34" charset="0"/>
              <a:cs typeface="Arial"/>
            </a:rPr>
            <a:pPr/>
            <a:t>62</a:t>
          </a:fld>
          <a:endParaRPr lang="pt-BR" sz="60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104776</xdr:rowOff>
    </xdr:from>
    <xdr:to>
      <xdr:col>3</xdr:col>
      <xdr:colOff>95250</xdr:colOff>
      <xdr:row>1</xdr:row>
      <xdr:rowOff>228601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9520F76-F9F8-4CB8-A445-BFCFAFF89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04776"/>
          <a:ext cx="1524000" cy="66675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DADOS%20FUNCION&#193;RIO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ário" refreshedDate="45591.518029166669" createdVersion="8" refreshedVersion="8" minRefreshableVersion="3" recordCount="16" xr:uid="{00000000-000A-0000-FFFF-FFFF01000000}">
  <cacheSource type="worksheet">
    <worksheetSource ref="B2:F37" sheet="RESUMO DE DADOS" r:id="rId2"/>
  </cacheSource>
  <cacheFields count="6">
    <cacheField name="FUNÇÃO" numFmtId="0">
      <sharedItems count="16">
        <s v="ARMADOR"/>
        <s v="ASSISTENTE ADMINISTRATIVO"/>
        <s v="AUX. DE SERVIÇOS GERAIS"/>
        <s v="CABO DE TURMA DE ARMADOR"/>
        <s v="CABO DE TURMA DE CARP."/>
        <s v="CABO DE TURMA DE SERVENTES"/>
        <s v="CARPINTEIRO"/>
        <s v="ENCARREGADO ADMINISTRATIVO"/>
        <s v="ENCARREGADO DE ELÉTRICA"/>
        <s v="ENCARREGADO DE OBRAS"/>
        <s v="ENGENHEIRO"/>
        <s v="OPERADOR DE BETONEIRA"/>
        <s v="PEDREIRO"/>
        <s v="SERVENTE COMUM"/>
        <s v="SERVENTE PRATICO DE PEDREIRO"/>
        <s v="VIGIA"/>
      </sharedItems>
    </cacheField>
    <cacheField name="QUANTIDADE" numFmtId="0">
      <sharedItems containsSemiMixedTypes="0" containsString="0" containsNumber="1" containsInteger="1" minValue="1" maxValue="24"/>
    </cacheField>
    <cacheField name="PERCENTUAL" numFmtId="10">
      <sharedItems containsSemiMixedTypes="0" containsString="0" containsNumber="1" minValue="1.6129032258064516E-2" maxValue="0.38709677419354838"/>
    </cacheField>
    <cacheField name="CUSTO SALARIO" numFmtId="44">
      <sharedItems containsSemiMixedTypes="0" containsString="0" containsNumber="1" minValue="1442.98" maxValue="34631.519999999997"/>
    </cacheField>
    <cacheField name="M.SAL.FUNÇÃO" numFmtId="44">
      <sharedItems containsSemiMixedTypes="0" containsString="0" containsNumber="1" minValue="1442.9799999999998" maxValue="4500"/>
    </cacheField>
    <cacheField name="MEDIA IDADE" numFmtId="1">
      <sharedItems containsSemiMixedTypes="0" containsString="0" containsNumber="1" minValue="25" maxValue="47"/>
    </cacheField>
  </cacheFields>
  <extLst>
    <ext xmlns:x14="http://schemas.microsoft.com/office/spreadsheetml/2009/9/main" uri="{725AE2AE-9491-48be-B2B4-4EB974FC3084}">
      <x14:pivotCacheDefinition pivotCacheId="166761493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n v="6"/>
    <n v="9.6774193548387094E-2"/>
    <n v="13966.08"/>
    <n v="2327.6799999999998"/>
    <n v="27.5"/>
  </r>
  <r>
    <x v="1"/>
    <n v="2"/>
    <n v="3.2258064516129031E-2"/>
    <n v="3942.98"/>
    <n v="1971.49"/>
    <n v="40"/>
  </r>
  <r>
    <x v="2"/>
    <n v="1"/>
    <n v="1.6129032258064516E-2"/>
    <n v="1442.98"/>
    <n v="1442.98"/>
    <n v="37"/>
  </r>
  <r>
    <x v="3"/>
    <n v="1"/>
    <n v="1.6129032258064516E-2"/>
    <n v="3184.01"/>
    <n v="3184.01"/>
    <n v="30"/>
  </r>
  <r>
    <x v="4"/>
    <n v="1"/>
    <n v="1.6129032258064516E-2"/>
    <n v="3184.01"/>
    <n v="3184.01"/>
    <n v="31"/>
  </r>
  <r>
    <x v="5"/>
    <n v="1"/>
    <n v="1.6129032258064516E-2"/>
    <n v="1880.32"/>
    <n v="1880.32"/>
    <n v="25"/>
  </r>
  <r>
    <x v="6"/>
    <n v="8"/>
    <n v="0.12903225806451613"/>
    <n v="18621.439999999999"/>
    <n v="2327.6799999999998"/>
    <n v="35.125"/>
  </r>
  <r>
    <x v="7"/>
    <n v="1"/>
    <n v="1.6129032258064516E-2"/>
    <n v="2600"/>
    <n v="2600"/>
    <n v="31"/>
  </r>
  <r>
    <x v="8"/>
    <n v="1"/>
    <n v="1.6129032258064516E-2"/>
    <n v="3100"/>
    <n v="3100"/>
    <n v="37"/>
  </r>
  <r>
    <x v="9"/>
    <n v="1"/>
    <n v="1.6129032258064516E-2"/>
    <n v="3500"/>
    <n v="3500"/>
    <n v="38"/>
  </r>
  <r>
    <x v="10"/>
    <n v="1"/>
    <n v="1.6129032258064516E-2"/>
    <n v="4500"/>
    <n v="4500"/>
    <n v="27"/>
  </r>
  <r>
    <x v="11"/>
    <n v="1"/>
    <n v="1.6129032258064516E-2"/>
    <n v="2327.6799999999998"/>
    <n v="2327.6799999999998"/>
    <n v="33"/>
  </r>
  <r>
    <x v="12"/>
    <n v="8"/>
    <n v="0.12903225806451613"/>
    <n v="18621.439999999999"/>
    <n v="2327.6799999999998"/>
    <n v="42.5"/>
  </r>
  <r>
    <x v="13"/>
    <n v="24"/>
    <n v="0.38709677419354838"/>
    <n v="34631.519999999997"/>
    <n v="1442.9799999999998"/>
    <n v="31.416666666666668"/>
  </r>
  <r>
    <x v="14"/>
    <n v="1"/>
    <n v="1.6129032258064516E-2"/>
    <n v="1510.22"/>
    <n v="1510.22"/>
    <n v="47"/>
  </r>
  <r>
    <x v="15"/>
    <n v="4"/>
    <n v="6.4516129032258063E-2"/>
    <n v="6040.88"/>
    <n v="1510.22"/>
    <n v="43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ela dinâmica1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5" rowHeaderCaption="FUNÇÃO">
  <location ref="A23:B40" firstHeaderRow="1" firstDataRow="1" firstDataCol="1"/>
  <pivotFields count="6">
    <pivotField axis="axisRow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numFmtId="10" showAll="0"/>
    <pivotField numFmtId="44" showAll="0"/>
    <pivotField numFmtId="44" showAll="0"/>
    <pivotField numFmtId="1"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oma de QUANTIDADE" fld="1" baseField="0" baseItem="0"/>
  </dataFields>
  <chartFormats count="1"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 rowHeaderCaption="FUNÇÃO">
  <location ref="A3:F20" firstHeaderRow="0" firstDataRow="1" firstDataCol="1"/>
  <pivotFields count="6">
    <pivotField axis="axisRow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dataField="1" numFmtId="10" showAll="0"/>
    <pivotField dataField="1" numFmtId="44" showAll="0"/>
    <pivotField dataField="1" numFmtId="44" showAll="0"/>
    <pivotField dataField="1" numFmtId="1"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QUANTITATIVO" fld="1" baseField="0" baseItem="0"/>
    <dataField name="PERCENTIL" fld="2" baseField="0" baseItem="0" numFmtId="9"/>
    <dataField name="MEDIA DE IDADE" fld="5" subtotal="average" baseField="0" baseItem="0" numFmtId="1"/>
    <dataField name="CUSTO SALÁRIOS" fld="3" baseField="0" baseItem="0" numFmtId="44"/>
    <dataField name="MÉDIA SALÁRIOS" fld="4" baseField="0" baseItem="0" numFmtId="44"/>
  </dataFields>
  <formats count="4">
    <format dxfId="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0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Tabela dinâmica19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4" rowHeaderCaption="FUNÇÃO">
  <location ref="E24:F41" firstHeaderRow="1" firstDataRow="1" firstDataCol="1"/>
  <pivotFields count="6">
    <pivotField axis="axisRow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numFmtId="10" showAll="0"/>
    <pivotField numFmtId="44" showAll="0"/>
    <pivotField numFmtId="44" showAll="0"/>
    <pivotField dataField="1" numFmtId="1"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Média de MEDIA IDADE" fld="5" subtotal="average" baseField="0" baseItem="0" numFmtId="1"/>
  </dataFields>
  <formats count="1">
    <format dxfId="4">
      <pivotArea outline="0" collapsedLevelsAreSubtotals="1" fieldPosition="0"/>
    </format>
  </formats>
  <chartFormats count="2">
    <chartFormat chart="3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etropolitano">
  <a:themeElements>
    <a:clrScheme name="Metropolitano">
      <a:dk1>
        <a:sysClr val="windowText" lastClr="000000"/>
      </a:dk1>
      <a:lt1>
        <a:sysClr val="window" lastClr="FFFFFF"/>
      </a:lt1>
      <a:dk2>
        <a:srgbClr val="162F33"/>
      </a:dk2>
      <a:lt2>
        <a:srgbClr val="EAF0E0"/>
      </a:lt2>
      <a:accent1>
        <a:srgbClr val="50B4C8"/>
      </a:accent1>
      <a:accent2>
        <a:srgbClr val="A8B97F"/>
      </a:accent2>
      <a:accent3>
        <a:srgbClr val="9B9256"/>
      </a:accent3>
      <a:accent4>
        <a:srgbClr val="657689"/>
      </a:accent4>
      <a:accent5>
        <a:srgbClr val="7A855D"/>
      </a:accent5>
      <a:accent6>
        <a:srgbClr val="84AC9D"/>
      </a:accent6>
      <a:hlink>
        <a:srgbClr val="2370CD"/>
      </a:hlink>
      <a:folHlink>
        <a:srgbClr val="877589"/>
      </a:folHlink>
    </a:clrScheme>
    <a:fontScheme name="Metropolitan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Metropolitano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00000"/>
                <a:lumMod val="110000"/>
              </a:schemeClr>
            </a:gs>
            <a:gs pos="50000">
              <a:schemeClr val="phClr">
                <a:tint val="75000"/>
                <a:satMod val="101000"/>
                <a:lumMod val="105000"/>
              </a:schemeClr>
            </a:gs>
            <a:gs pos="100000">
              <a:schemeClr val="phClr">
                <a:tint val="82000"/>
                <a:satMod val="104000"/>
                <a:lumMod val="105000"/>
              </a:schemeClr>
            </a:gs>
          </a:gsLst>
          <a:lin ang="27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0000"/>
                <a:lumMod val="100000"/>
              </a:schemeClr>
            </a:gs>
            <a:gs pos="100000">
              <a:schemeClr val="phClr">
                <a:shade val="80000"/>
                <a:satMod val="100000"/>
                <a:lumMod val="99000"/>
              </a:schemeClr>
            </a:gs>
          </a:gsLst>
          <a:lin ang="27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solidFill>
          <a:schemeClr val="phClr">
            <a:shade val="95000"/>
            <a:satMod val="17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etropolitan" id="{4C5440D6-04D2-4954-96CF-F251137069B2}" vid="{79CFCA13-9412-4290-BB4B-85112F88857B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0"/>
  <dimension ref="A1"/>
  <sheetViews>
    <sheetView zoomScale="70" zoomScaleNormal="70" workbookViewId="0">
      <selection activeCell="R39" sqref="R39"/>
    </sheetView>
  </sheetViews>
  <sheetFormatPr defaultRowHeight="12.75"/>
  <cols>
    <col min="1" max="16384" width="9.140625" style="28"/>
  </cols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1"/>
  <dimension ref="A3:F41"/>
  <sheetViews>
    <sheetView topLeftCell="A16" workbookViewId="0">
      <selection activeCell="F4" sqref="F4"/>
    </sheetView>
  </sheetViews>
  <sheetFormatPr defaultRowHeight="12.75"/>
  <cols>
    <col min="1" max="1" width="33.5703125" bestFit="1" customWidth="1"/>
    <col min="2" max="2" width="22.140625" bestFit="1" customWidth="1"/>
    <col min="3" max="3" width="11.28515625" bestFit="1" customWidth="1"/>
    <col min="4" max="4" width="16.140625" bestFit="1" customWidth="1"/>
    <col min="5" max="5" width="33.5703125" bestFit="1" customWidth="1"/>
    <col min="6" max="6" width="22.42578125" bestFit="1" customWidth="1"/>
  </cols>
  <sheetData>
    <row r="3" spans="1:6">
      <c r="A3" s="26" t="s">
        <v>0</v>
      </c>
      <c r="B3" t="s">
        <v>46</v>
      </c>
      <c r="C3" t="s">
        <v>47</v>
      </c>
      <c r="D3" t="s">
        <v>48</v>
      </c>
      <c r="E3" t="s">
        <v>49</v>
      </c>
      <c r="F3" t="s">
        <v>50</v>
      </c>
    </row>
    <row r="4" spans="1:6">
      <c r="A4" s="23" t="s">
        <v>12</v>
      </c>
      <c r="B4">
        <v>6</v>
      </c>
      <c r="C4" s="27">
        <v>9.6774193548387094E-2</v>
      </c>
      <c r="D4" s="25">
        <v>27.5</v>
      </c>
      <c r="E4" s="24">
        <v>13966.08</v>
      </c>
      <c r="F4" s="24">
        <v>2327.6799999999998</v>
      </c>
    </row>
    <row r="5" spans="1:6">
      <c r="A5" s="23" t="s">
        <v>17</v>
      </c>
      <c r="B5">
        <v>2</v>
      </c>
      <c r="C5" s="27">
        <v>3.2258064516129031E-2</v>
      </c>
      <c r="D5" s="25">
        <v>40</v>
      </c>
      <c r="E5" s="24">
        <v>3942.98</v>
      </c>
      <c r="F5" s="24">
        <v>1971.49</v>
      </c>
    </row>
    <row r="6" spans="1:6">
      <c r="A6" s="23" t="s">
        <v>20</v>
      </c>
      <c r="B6">
        <v>1</v>
      </c>
      <c r="C6" s="27">
        <v>1.6129032258064516E-2</v>
      </c>
      <c r="D6" s="25">
        <v>37</v>
      </c>
      <c r="E6" s="24">
        <v>1442.98</v>
      </c>
      <c r="F6" s="24">
        <v>1442.98</v>
      </c>
    </row>
    <row r="7" spans="1:6">
      <c r="A7" s="23" t="s">
        <v>13</v>
      </c>
      <c r="B7">
        <v>1</v>
      </c>
      <c r="C7" s="27">
        <v>1.6129032258064516E-2</v>
      </c>
      <c r="D7" s="25">
        <v>30</v>
      </c>
      <c r="E7" s="24">
        <v>3184.01</v>
      </c>
      <c r="F7" s="24">
        <v>3184.01</v>
      </c>
    </row>
    <row r="8" spans="1:6">
      <c r="A8" s="23" t="s">
        <v>35</v>
      </c>
      <c r="B8">
        <v>1</v>
      </c>
      <c r="C8" s="27">
        <v>1.6129032258064516E-2</v>
      </c>
      <c r="D8" s="25">
        <v>31</v>
      </c>
      <c r="E8" s="24">
        <v>3184.01</v>
      </c>
      <c r="F8" s="24">
        <v>3184.01</v>
      </c>
    </row>
    <row r="9" spans="1:6">
      <c r="A9" s="23" t="s">
        <v>18</v>
      </c>
      <c r="B9">
        <v>1</v>
      </c>
      <c r="C9" s="27">
        <v>1.6129032258064516E-2</v>
      </c>
      <c r="D9" s="25">
        <v>25</v>
      </c>
      <c r="E9" s="24">
        <v>1880.32</v>
      </c>
      <c r="F9" s="24">
        <v>1880.32</v>
      </c>
    </row>
    <row r="10" spans="1:6">
      <c r="A10" s="23" t="s">
        <v>11</v>
      </c>
      <c r="B10">
        <v>8</v>
      </c>
      <c r="C10" s="27">
        <v>0.12903225806451613</v>
      </c>
      <c r="D10" s="25">
        <v>35.125</v>
      </c>
      <c r="E10" s="24">
        <v>18621.439999999999</v>
      </c>
      <c r="F10" s="24">
        <v>2327.6799999999998</v>
      </c>
    </row>
    <row r="11" spans="1:6">
      <c r="A11" s="23" t="s">
        <v>10</v>
      </c>
      <c r="B11">
        <v>1</v>
      </c>
      <c r="C11" s="27">
        <v>1.6129032258064516E-2</v>
      </c>
      <c r="D11" s="25">
        <v>31</v>
      </c>
      <c r="E11" s="24">
        <v>2600</v>
      </c>
      <c r="F11" s="24">
        <v>2600</v>
      </c>
    </row>
    <row r="12" spans="1:6">
      <c r="A12" s="23" t="s">
        <v>19</v>
      </c>
      <c r="B12">
        <v>1</v>
      </c>
      <c r="C12" s="27">
        <v>1.6129032258064516E-2</v>
      </c>
      <c r="D12" s="25">
        <v>37</v>
      </c>
      <c r="E12" s="24">
        <v>3100</v>
      </c>
      <c r="F12" s="24">
        <v>3100</v>
      </c>
    </row>
    <row r="13" spans="1:6">
      <c r="A13" s="23" t="s">
        <v>9</v>
      </c>
      <c r="B13">
        <v>1</v>
      </c>
      <c r="C13" s="27">
        <v>1.6129032258064516E-2</v>
      </c>
      <c r="D13" s="25">
        <v>38</v>
      </c>
      <c r="E13" s="24">
        <v>3500</v>
      </c>
      <c r="F13" s="24">
        <v>3500</v>
      </c>
    </row>
    <row r="14" spans="1:6">
      <c r="A14" s="23" t="s">
        <v>7</v>
      </c>
      <c r="B14">
        <v>1</v>
      </c>
      <c r="C14" s="27">
        <v>1.6129032258064516E-2</v>
      </c>
      <c r="D14" s="25">
        <v>27</v>
      </c>
      <c r="E14" s="24">
        <v>4500</v>
      </c>
      <c r="F14" s="24">
        <v>4500</v>
      </c>
    </row>
    <row r="15" spans="1:6">
      <c r="A15" s="23" t="s">
        <v>16</v>
      </c>
      <c r="B15">
        <v>1</v>
      </c>
      <c r="C15" s="27">
        <v>1.6129032258064516E-2</v>
      </c>
      <c r="D15" s="25">
        <v>33</v>
      </c>
      <c r="E15" s="24">
        <v>2327.6799999999998</v>
      </c>
      <c r="F15" s="24">
        <v>2327.6799999999998</v>
      </c>
    </row>
    <row r="16" spans="1:6">
      <c r="A16" s="23" t="s">
        <v>1</v>
      </c>
      <c r="B16">
        <v>8</v>
      </c>
      <c r="C16" s="27">
        <v>0.12903225806451613</v>
      </c>
      <c r="D16" s="25">
        <v>42.5</v>
      </c>
      <c r="E16" s="24">
        <v>18621.439999999999</v>
      </c>
      <c r="F16" s="24">
        <v>2327.6799999999998</v>
      </c>
    </row>
    <row r="17" spans="1:6">
      <c r="A17" s="23" t="s">
        <v>8</v>
      </c>
      <c r="B17">
        <v>24</v>
      </c>
      <c r="C17" s="27">
        <v>0.38709677419354838</v>
      </c>
      <c r="D17" s="25">
        <v>31.416666666666668</v>
      </c>
      <c r="E17" s="24">
        <v>34631.519999999997</v>
      </c>
      <c r="F17" s="24">
        <v>1442.9799999999998</v>
      </c>
    </row>
    <row r="18" spans="1:6">
      <c r="A18" s="23" t="s">
        <v>14</v>
      </c>
      <c r="B18">
        <v>1</v>
      </c>
      <c r="C18" s="27">
        <v>1.6129032258064516E-2</v>
      </c>
      <c r="D18" s="25">
        <v>47</v>
      </c>
      <c r="E18" s="24">
        <v>1510.22</v>
      </c>
      <c r="F18" s="24">
        <v>1510.22</v>
      </c>
    </row>
    <row r="19" spans="1:6">
      <c r="A19" s="23" t="s">
        <v>15</v>
      </c>
      <c r="B19">
        <v>4</v>
      </c>
      <c r="C19" s="27">
        <v>6.4516129032258063E-2</v>
      </c>
      <c r="D19" s="25">
        <v>43.5</v>
      </c>
      <c r="E19" s="24">
        <v>6040.88</v>
      </c>
      <c r="F19" s="24">
        <v>1510.22</v>
      </c>
    </row>
    <row r="20" spans="1:6">
      <c r="A20" s="23" t="s">
        <v>43</v>
      </c>
      <c r="B20">
        <v>62</v>
      </c>
      <c r="C20" s="27">
        <v>0.99999999999999978</v>
      </c>
      <c r="D20" s="25">
        <v>34.752604166666671</v>
      </c>
      <c r="E20" s="24">
        <v>123053.56</v>
      </c>
      <c r="F20" s="24">
        <v>39136.950000000004</v>
      </c>
    </row>
    <row r="23" spans="1:6">
      <c r="A23" s="26" t="s">
        <v>0</v>
      </c>
      <c r="B23" t="s">
        <v>44</v>
      </c>
    </row>
    <row r="24" spans="1:6">
      <c r="A24" s="23" t="s">
        <v>12</v>
      </c>
      <c r="B24">
        <v>6</v>
      </c>
      <c r="E24" s="26" t="s">
        <v>0</v>
      </c>
      <c r="F24" t="s">
        <v>45</v>
      </c>
    </row>
    <row r="25" spans="1:6">
      <c r="A25" s="23" t="s">
        <v>17</v>
      </c>
      <c r="B25">
        <v>2</v>
      </c>
      <c r="E25" s="23" t="s">
        <v>12</v>
      </c>
      <c r="F25" s="25">
        <v>27.5</v>
      </c>
    </row>
    <row r="26" spans="1:6">
      <c r="A26" s="23" t="s">
        <v>20</v>
      </c>
      <c r="B26">
        <v>1</v>
      </c>
      <c r="E26" s="23" t="s">
        <v>17</v>
      </c>
      <c r="F26" s="25">
        <v>40</v>
      </c>
    </row>
    <row r="27" spans="1:6">
      <c r="A27" s="23" t="s">
        <v>13</v>
      </c>
      <c r="B27">
        <v>1</v>
      </c>
      <c r="E27" s="23" t="s">
        <v>20</v>
      </c>
      <c r="F27" s="25">
        <v>37</v>
      </c>
    </row>
    <row r="28" spans="1:6">
      <c r="A28" s="23" t="s">
        <v>35</v>
      </c>
      <c r="B28">
        <v>1</v>
      </c>
      <c r="E28" s="23" t="s">
        <v>13</v>
      </c>
      <c r="F28" s="25">
        <v>30</v>
      </c>
    </row>
    <row r="29" spans="1:6">
      <c r="A29" s="23" t="s">
        <v>18</v>
      </c>
      <c r="B29">
        <v>1</v>
      </c>
      <c r="E29" s="23" t="s">
        <v>35</v>
      </c>
      <c r="F29" s="25">
        <v>31</v>
      </c>
    </row>
    <row r="30" spans="1:6">
      <c r="A30" s="23" t="s">
        <v>11</v>
      </c>
      <c r="B30">
        <v>8</v>
      </c>
      <c r="E30" s="23" t="s">
        <v>18</v>
      </c>
      <c r="F30" s="25">
        <v>25</v>
      </c>
    </row>
    <row r="31" spans="1:6">
      <c r="A31" s="23" t="s">
        <v>10</v>
      </c>
      <c r="B31">
        <v>1</v>
      </c>
      <c r="E31" s="23" t="s">
        <v>11</v>
      </c>
      <c r="F31" s="25">
        <v>35.125</v>
      </c>
    </row>
    <row r="32" spans="1:6">
      <c r="A32" s="23" t="s">
        <v>19</v>
      </c>
      <c r="B32">
        <v>1</v>
      </c>
      <c r="E32" s="23" t="s">
        <v>10</v>
      </c>
      <c r="F32" s="25">
        <v>31</v>
      </c>
    </row>
    <row r="33" spans="1:6">
      <c r="A33" s="23" t="s">
        <v>9</v>
      </c>
      <c r="B33">
        <v>1</v>
      </c>
      <c r="E33" s="23" t="s">
        <v>19</v>
      </c>
      <c r="F33" s="25">
        <v>37</v>
      </c>
    </row>
    <row r="34" spans="1:6">
      <c r="A34" s="23" t="s">
        <v>7</v>
      </c>
      <c r="B34">
        <v>1</v>
      </c>
      <c r="E34" s="23" t="s">
        <v>9</v>
      </c>
      <c r="F34" s="25">
        <v>38</v>
      </c>
    </row>
    <row r="35" spans="1:6">
      <c r="A35" s="23" t="s">
        <v>16</v>
      </c>
      <c r="B35">
        <v>1</v>
      </c>
      <c r="E35" s="23" t="s">
        <v>7</v>
      </c>
      <c r="F35" s="25">
        <v>27</v>
      </c>
    </row>
    <row r="36" spans="1:6">
      <c r="A36" s="23" t="s">
        <v>1</v>
      </c>
      <c r="B36">
        <v>8</v>
      </c>
      <c r="E36" s="23" t="s">
        <v>16</v>
      </c>
      <c r="F36" s="25">
        <v>33</v>
      </c>
    </row>
    <row r="37" spans="1:6">
      <c r="A37" s="23" t="s">
        <v>8</v>
      </c>
      <c r="B37">
        <v>24</v>
      </c>
      <c r="E37" s="23" t="s">
        <v>1</v>
      </c>
      <c r="F37" s="25">
        <v>42.5</v>
      </c>
    </row>
    <row r="38" spans="1:6">
      <c r="A38" s="23" t="s">
        <v>14</v>
      </c>
      <c r="B38">
        <v>1</v>
      </c>
      <c r="E38" s="23" t="s">
        <v>8</v>
      </c>
      <c r="F38" s="25">
        <v>31.416666666666668</v>
      </c>
    </row>
    <row r="39" spans="1:6">
      <c r="A39" s="23" t="s">
        <v>15</v>
      </c>
      <c r="B39">
        <v>4</v>
      </c>
      <c r="E39" s="23" t="s">
        <v>14</v>
      </c>
      <c r="F39" s="25">
        <v>47</v>
      </c>
    </row>
    <row r="40" spans="1:6">
      <c r="A40" s="23" t="s">
        <v>43</v>
      </c>
      <c r="B40">
        <v>62</v>
      </c>
      <c r="E40" s="23" t="s">
        <v>15</v>
      </c>
      <c r="F40" s="25">
        <v>43.5</v>
      </c>
    </row>
    <row r="41" spans="1:6">
      <c r="E41" s="23" t="s">
        <v>43</v>
      </c>
      <c r="F41" s="25">
        <v>34.752604166666671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>
    <tabColor theme="4" tint="0.59999389629810485"/>
    <pageSetUpPr fitToPage="1"/>
  </sheetPr>
  <dimension ref="A1:S19"/>
  <sheetViews>
    <sheetView showGridLines="0" tabSelected="1" view="pageBreakPreview" zoomScale="70" zoomScaleNormal="100" zoomScaleSheetLayoutView="70" workbookViewId="0">
      <selection activeCell="K7" sqref="K7"/>
    </sheetView>
  </sheetViews>
  <sheetFormatPr defaultRowHeight="12.75"/>
  <cols>
    <col min="1" max="3" width="6.7109375" style="2" customWidth="1"/>
    <col min="4" max="4" width="7.7109375" style="2" customWidth="1"/>
    <col min="5" max="5" width="12.28515625" style="2" customWidth="1"/>
    <col min="6" max="6" width="23.42578125" style="2" customWidth="1"/>
    <col min="7" max="7" width="19.28515625" style="2" customWidth="1"/>
    <col min="8" max="8" width="12.5703125" style="2" customWidth="1"/>
    <col min="9" max="9" width="17.5703125" style="2" bestFit="1" customWidth="1"/>
    <col min="10" max="11" width="5.28515625" style="2" customWidth="1"/>
    <col min="12" max="13" width="5.28515625" customWidth="1"/>
    <col min="15" max="15" width="40.7109375" customWidth="1"/>
    <col min="16" max="18" width="6.7109375" customWidth="1"/>
    <col min="19" max="19" width="35.7109375" customWidth="1"/>
  </cols>
  <sheetData>
    <row r="1" spans="1:19" ht="18.75" customHeight="1" thickBot="1">
      <c r="A1" s="99" t="s">
        <v>21</v>
      </c>
      <c r="B1" s="100"/>
      <c r="C1" s="101"/>
      <c r="D1" s="105" t="s">
        <v>22</v>
      </c>
      <c r="E1" s="72" t="s">
        <v>23</v>
      </c>
      <c r="F1" s="107"/>
      <c r="G1" s="73"/>
      <c r="H1" s="94" t="s">
        <v>24</v>
      </c>
      <c r="I1" s="95"/>
      <c r="J1" s="74" t="s">
        <v>25</v>
      </c>
      <c r="K1" s="96"/>
      <c r="L1" s="96"/>
      <c r="M1" s="75"/>
      <c r="N1" s="72" t="s">
        <v>26</v>
      </c>
      <c r="O1" s="73"/>
      <c r="P1" s="76" t="s">
        <v>2</v>
      </c>
      <c r="Q1" s="77"/>
      <c r="R1" s="77"/>
      <c r="S1" s="78"/>
    </row>
    <row r="2" spans="1:19" ht="18" customHeight="1" thickBot="1">
      <c r="A2" s="102"/>
      <c r="B2" s="103"/>
      <c r="C2" s="104"/>
      <c r="D2" s="106"/>
      <c r="E2" s="74"/>
      <c r="F2" s="96"/>
      <c r="G2" s="75"/>
      <c r="H2" s="76"/>
      <c r="I2" s="78"/>
      <c r="J2" s="11" t="s">
        <v>27</v>
      </c>
      <c r="K2" s="11" t="s">
        <v>28</v>
      </c>
      <c r="L2" s="11" t="s">
        <v>29</v>
      </c>
      <c r="M2" s="11" t="s">
        <v>30</v>
      </c>
      <c r="N2" s="74"/>
      <c r="O2" s="75"/>
      <c r="P2" s="79" t="s">
        <v>31</v>
      </c>
      <c r="Q2" s="80"/>
      <c r="R2" s="81"/>
      <c r="S2" s="12" t="s">
        <v>32</v>
      </c>
    </row>
    <row r="3" spans="1:19" ht="30" customHeight="1" thickBot="1">
      <c r="A3" s="85"/>
      <c r="B3" s="86"/>
      <c r="C3" s="60"/>
      <c r="D3" s="50"/>
      <c r="E3" s="91"/>
      <c r="F3" s="92"/>
      <c r="G3" s="93"/>
      <c r="H3" s="55"/>
      <c r="I3" s="56"/>
      <c r="J3" s="33"/>
      <c r="K3" s="51"/>
      <c r="L3" s="51"/>
      <c r="M3" s="51"/>
      <c r="N3" s="59"/>
      <c r="O3" s="60"/>
      <c r="P3" s="59"/>
      <c r="Q3" s="86"/>
      <c r="R3" s="60"/>
      <c r="S3" s="51"/>
    </row>
    <row r="4" spans="1:19" ht="30" customHeight="1" thickBot="1">
      <c r="A4" s="87"/>
      <c r="B4" s="88"/>
      <c r="C4" s="89"/>
      <c r="D4" s="32"/>
      <c r="E4" s="52"/>
      <c r="F4" s="53"/>
      <c r="G4" s="54"/>
      <c r="H4" s="97"/>
      <c r="I4" s="98"/>
      <c r="J4" s="33"/>
      <c r="K4" s="34"/>
      <c r="L4" s="34"/>
      <c r="M4" s="34"/>
      <c r="N4" s="61"/>
      <c r="O4" s="62"/>
      <c r="P4" s="82"/>
      <c r="Q4" s="83"/>
      <c r="R4" s="84"/>
      <c r="S4" s="40"/>
    </row>
    <row r="5" spans="1:19" ht="30" customHeight="1" thickBot="1">
      <c r="A5" s="87"/>
      <c r="B5" s="88"/>
      <c r="C5" s="89"/>
      <c r="D5" s="32"/>
      <c r="E5" s="52"/>
      <c r="F5" s="53"/>
      <c r="G5" s="54"/>
      <c r="H5" s="57"/>
      <c r="I5" s="58"/>
      <c r="J5" s="43"/>
      <c r="K5" s="34"/>
      <c r="L5" s="34"/>
      <c r="M5" s="34"/>
      <c r="N5" s="61"/>
      <c r="O5" s="62"/>
      <c r="P5" s="82"/>
      <c r="Q5" s="83"/>
      <c r="R5" s="84"/>
      <c r="S5" s="40"/>
    </row>
    <row r="6" spans="1:19" ht="30" customHeight="1" thickBot="1">
      <c r="A6" s="87"/>
      <c r="B6" s="88"/>
      <c r="C6" s="89"/>
      <c r="D6" s="32"/>
      <c r="E6" s="52" t="s">
        <v>51</v>
      </c>
      <c r="F6" s="53"/>
      <c r="G6" s="54"/>
      <c r="H6" s="57"/>
      <c r="I6" s="58"/>
      <c r="J6" s="43"/>
      <c r="K6" s="34"/>
      <c r="L6" s="34"/>
      <c r="M6" s="34"/>
      <c r="N6" s="61"/>
      <c r="O6" s="62"/>
      <c r="P6" s="82"/>
      <c r="Q6" s="83"/>
      <c r="R6" s="84"/>
      <c r="S6" s="40"/>
    </row>
    <row r="7" spans="1:19" ht="30" customHeight="1" thickBot="1">
      <c r="A7" s="87"/>
      <c r="B7" s="88"/>
      <c r="C7" s="89"/>
      <c r="D7" s="32"/>
      <c r="E7" s="52"/>
      <c r="F7" s="53"/>
      <c r="G7" s="54"/>
      <c r="H7" s="57"/>
      <c r="I7" s="58"/>
      <c r="J7" s="43"/>
      <c r="K7" s="34"/>
      <c r="L7" s="34"/>
      <c r="M7" s="34"/>
      <c r="N7" s="61"/>
      <c r="O7" s="62"/>
      <c r="P7" s="82"/>
      <c r="Q7" s="83"/>
      <c r="R7" s="84"/>
      <c r="S7" s="40"/>
    </row>
    <row r="8" spans="1:19" ht="30" customHeight="1" thickBot="1">
      <c r="A8" s="87"/>
      <c r="B8" s="88"/>
      <c r="C8" s="89"/>
      <c r="D8" s="32"/>
      <c r="E8" s="63"/>
      <c r="F8" s="64"/>
      <c r="G8" s="65"/>
      <c r="H8" s="57"/>
      <c r="I8" s="58"/>
      <c r="J8" s="43"/>
      <c r="K8" s="34"/>
      <c r="L8" s="34"/>
      <c r="M8" s="34"/>
      <c r="N8" s="61"/>
      <c r="O8" s="62"/>
      <c r="P8" s="82"/>
      <c r="Q8" s="83"/>
      <c r="R8" s="84"/>
      <c r="S8" s="40"/>
    </row>
    <row r="9" spans="1:19" ht="30" customHeight="1" thickBot="1">
      <c r="A9" s="87"/>
      <c r="B9" s="88"/>
      <c r="C9" s="89"/>
      <c r="D9" s="32"/>
      <c r="E9" s="63"/>
      <c r="F9" s="64"/>
      <c r="G9" s="65"/>
      <c r="H9" s="57"/>
      <c r="I9" s="58"/>
      <c r="J9" s="43"/>
      <c r="K9" s="34"/>
      <c r="L9" s="34"/>
      <c r="M9" s="34"/>
      <c r="N9" s="61"/>
      <c r="O9" s="62"/>
      <c r="P9" s="82"/>
      <c r="Q9" s="83"/>
      <c r="R9" s="84"/>
      <c r="S9" s="40"/>
    </row>
    <row r="10" spans="1:19" ht="30" customHeight="1" thickBot="1">
      <c r="A10" s="29"/>
      <c r="B10" s="30"/>
      <c r="C10" s="31"/>
      <c r="D10" s="32"/>
      <c r="E10" s="57"/>
      <c r="F10" s="68"/>
      <c r="G10" s="58"/>
      <c r="H10" s="41"/>
      <c r="I10" s="42"/>
      <c r="J10" s="43"/>
      <c r="K10" s="34"/>
      <c r="L10" s="34"/>
      <c r="M10" s="34"/>
      <c r="N10" s="35"/>
      <c r="O10" s="36"/>
      <c r="P10" s="37"/>
      <c r="Q10" s="38"/>
      <c r="R10" s="39"/>
      <c r="S10" s="40"/>
    </row>
    <row r="11" spans="1:19" ht="30" customHeight="1" thickBot="1">
      <c r="A11" s="29"/>
      <c r="B11" s="30"/>
      <c r="C11" s="31"/>
      <c r="D11" s="32"/>
      <c r="E11" s="44"/>
      <c r="F11" s="45"/>
      <c r="G11" s="46"/>
      <c r="H11" s="41"/>
      <c r="I11" s="42"/>
      <c r="J11" s="43"/>
      <c r="K11" s="34"/>
      <c r="L11" s="34"/>
      <c r="M11" s="34"/>
      <c r="N11" s="35"/>
      <c r="O11" s="36"/>
      <c r="P11" s="37"/>
      <c r="Q11" s="38"/>
      <c r="R11" s="39"/>
      <c r="S11" s="40"/>
    </row>
    <row r="12" spans="1:19" ht="30" customHeight="1" thickBot="1">
      <c r="A12" s="29"/>
      <c r="B12" s="30"/>
      <c r="C12" s="31"/>
      <c r="D12" s="32"/>
      <c r="E12" s="44"/>
      <c r="F12" s="45"/>
      <c r="G12" s="46"/>
      <c r="H12" s="41"/>
      <c r="I12" s="42"/>
      <c r="J12" s="43"/>
      <c r="K12" s="34"/>
      <c r="L12" s="34"/>
      <c r="M12" s="34"/>
      <c r="N12" s="35"/>
      <c r="O12" s="36"/>
      <c r="P12" s="37"/>
      <c r="Q12" s="38"/>
      <c r="R12" s="39"/>
      <c r="S12" s="40"/>
    </row>
    <row r="13" spans="1:19" ht="30" customHeight="1" thickBot="1">
      <c r="A13" s="29"/>
      <c r="B13" s="30"/>
      <c r="C13" s="31"/>
      <c r="D13" s="32"/>
      <c r="E13" s="44"/>
      <c r="F13" s="45"/>
      <c r="G13" s="46"/>
      <c r="H13" s="41"/>
      <c r="I13" s="42"/>
      <c r="J13" s="43"/>
      <c r="K13" s="34"/>
      <c r="L13" s="34"/>
      <c r="M13" s="34"/>
      <c r="N13" s="35"/>
      <c r="O13" s="36"/>
      <c r="P13" s="37"/>
      <c r="Q13" s="38"/>
      <c r="R13" s="39"/>
      <c r="S13" s="40"/>
    </row>
    <row r="14" spans="1:19" ht="30" customHeight="1" thickBot="1">
      <c r="A14" s="29"/>
      <c r="B14" s="30"/>
      <c r="C14" s="31"/>
      <c r="D14" s="32"/>
      <c r="E14" s="44"/>
      <c r="F14" s="45"/>
      <c r="G14" s="46"/>
      <c r="H14" s="41"/>
      <c r="I14" s="42"/>
      <c r="J14" s="43"/>
      <c r="K14" s="34"/>
      <c r="L14" s="34"/>
      <c r="M14" s="34"/>
      <c r="N14" s="35"/>
      <c r="O14" s="36"/>
      <c r="P14" s="37"/>
      <c r="Q14" s="38"/>
      <c r="R14" s="39"/>
      <c r="S14" s="40"/>
    </row>
    <row r="15" spans="1:19" ht="30" customHeight="1" thickBot="1">
      <c r="A15" s="87"/>
      <c r="B15" s="88"/>
      <c r="C15" s="89"/>
      <c r="D15" s="47"/>
      <c r="E15" s="57"/>
      <c r="F15" s="68"/>
      <c r="G15" s="58"/>
      <c r="H15" s="57"/>
      <c r="I15" s="58"/>
      <c r="J15" s="48"/>
      <c r="K15" s="34"/>
      <c r="L15" s="34"/>
      <c r="M15" s="34"/>
      <c r="N15" s="66"/>
      <c r="O15" s="67"/>
      <c r="P15" s="82"/>
      <c r="Q15" s="83"/>
      <c r="R15" s="84"/>
      <c r="S15" s="40"/>
    </row>
    <row r="16" spans="1:19" ht="30" customHeight="1" thickBot="1">
      <c r="A16" s="90"/>
      <c r="B16" s="88"/>
      <c r="C16" s="89"/>
      <c r="D16" s="49"/>
      <c r="E16" s="69"/>
      <c r="F16" s="70"/>
      <c r="G16" s="71"/>
      <c r="H16" s="52"/>
      <c r="I16" s="54"/>
      <c r="J16" s="48"/>
      <c r="K16" s="34"/>
      <c r="L16" s="34"/>
      <c r="M16" s="34"/>
      <c r="N16" s="66"/>
      <c r="O16" s="67"/>
      <c r="P16" s="82"/>
      <c r="Q16" s="83"/>
      <c r="R16" s="84"/>
      <c r="S16" s="40"/>
    </row>
    <row r="17" spans="1:19" ht="30" customHeight="1" thickBot="1">
      <c r="A17" s="90"/>
      <c r="B17" s="88"/>
      <c r="C17" s="89"/>
      <c r="D17" s="49"/>
      <c r="E17" s="69"/>
      <c r="F17" s="70"/>
      <c r="G17" s="71"/>
      <c r="H17" s="52"/>
      <c r="I17" s="54"/>
      <c r="J17" s="48"/>
      <c r="K17" s="34"/>
      <c r="L17" s="34"/>
      <c r="M17" s="34"/>
      <c r="N17" s="66" t="s">
        <v>3</v>
      </c>
      <c r="O17" s="67"/>
      <c r="P17" s="82"/>
      <c r="Q17" s="83"/>
      <c r="R17" s="84"/>
      <c r="S17" s="40"/>
    </row>
    <row r="18" spans="1:19" ht="30" customHeight="1" thickBot="1">
      <c r="A18" s="90"/>
      <c r="B18" s="88"/>
      <c r="C18" s="89"/>
      <c r="D18" s="49"/>
      <c r="E18" s="57"/>
      <c r="F18" s="68"/>
      <c r="G18" s="58"/>
      <c r="H18" s="57"/>
      <c r="I18" s="58"/>
      <c r="J18" s="48"/>
      <c r="K18" s="34"/>
      <c r="L18" s="34"/>
      <c r="M18" s="34"/>
      <c r="N18" s="66"/>
      <c r="O18" s="67"/>
      <c r="P18" s="82"/>
      <c r="Q18" s="83"/>
      <c r="R18" s="84"/>
      <c r="S18" s="40"/>
    </row>
    <row r="19" spans="1:19" ht="30" customHeight="1" thickBot="1">
      <c r="A19" s="90"/>
      <c r="B19" s="88"/>
      <c r="C19" s="89"/>
      <c r="D19" s="49"/>
      <c r="E19" s="57"/>
      <c r="F19" s="68"/>
      <c r="G19" s="58"/>
      <c r="H19" s="57"/>
      <c r="I19" s="58"/>
      <c r="J19" s="48"/>
      <c r="K19" s="34"/>
      <c r="L19" s="34"/>
      <c r="M19" s="34"/>
      <c r="N19" s="66"/>
      <c r="O19" s="67"/>
      <c r="P19" s="82"/>
      <c r="Q19" s="83"/>
      <c r="R19" s="84"/>
      <c r="S19" s="40"/>
    </row>
  </sheetData>
  <mergeCells count="69">
    <mergeCell ref="A1:C2"/>
    <mergeCell ref="D1:D2"/>
    <mergeCell ref="E1:G2"/>
    <mergeCell ref="P15:R15"/>
    <mergeCell ref="P16:R16"/>
    <mergeCell ref="P3:R3"/>
    <mergeCell ref="H1:I2"/>
    <mergeCell ref="J1:M1"/>
    <mergeCell ref="H4:I4"/>
    <mergeCell ref="N4:O4"/>
    <mergeCell ref="P4:R4"/>
    <mergeCell ref="A18:C18"/>
    <mergeCell ref="A19:C19"/>
    <mergeCell ref="E9:G9"/>
    <mergeCell ref="E3:G3"/>
    <mergeCell ref="E4:G4"/>
    <mergeCell ref="A8:C8"/>
    <mergeCell ref="A9:C9"/>
    <mergeCell ref="A15:C15"/>
    <mergeCell ref="A16:C16"/>
    <mergeCell ref="A17:C17"/>
    <mergeCell ref="A3:C3"/>
    <mergeCell ref="A4:C4"/>
    <mergeCell ref="A5:C5"/>
    <mergeCell ref="A6:C6"/>
    <mergeCell ref="A7:C7"/>
    <mergeCell ref="N1:O2"/>
    <mergeCell ref="P1:S1"/>
    <mergeCell ref="P2:R2"/>
    <mergeCell ref="P19:R19"/>
    <mergeCell ref="E19:G19"/>
    <mergeCell ref="H19:I19"/>
    <mergeCell ref="N19:O19"/>
    <mergeCell ref="P17:R17"/>
    <mergeCell ref="P18:R18"/>
    <mergeCell ref="N5:O5"/>
    <mergeCell ref="N16:O16"/>
    <mergeCell ref="P5:R5"/>
    <mergeCell ref="P6:R6"/>
    <mergeCell ref="P7:R7"/>
    <mergeCell ref="P8:R8"/>
    <mergeCell ref="P9:R9"/>
    <mergeCell ref="H18:I18"/>
    <mergeCell ref="E18:G18"/>
    <mergeCell ref="N9:O9"/>
    <mergeCell ref="N15:O15"/>
    <mergeCell ref="H16:I16"/>
    <mergeCell ref="N18:O18"/>
    <mergeCell ref="H17:I17"/>
    <mergeCell ref="N17:O17"/>
    <mergeCell ref="E10:G10"/>
    <mergeCell ref="E15:G15"/>
    <mergeCell ref="E16:G16"/>
    <mergeCell ref="E17:G17"/>
    <mergeCell ref="H15:I15"/>
    <mergeCell ref="E5:G5"/>
    <mergeCell ref="H3:I3"/>
    <mergeCell ref="H5:I5"/>
    <mergeCell ref="H9:I9"/>
    <mergeCell ref="N3:O3"/>
    <mergeCell ref="H6:I6"/>
    <mergeCell ref="N6:O6"/>
    <mergeCell ref="E6:G6"/>
    <mergeCell ref="E8:G8"/>
    <mergeCell ref="H8:I8"/>
    <mergeCell ref="N8:O8"/>
    <mergeCell ref="E7:G7"/>
    <mergeCell ref="H7:I7"/>
    <mergeCell ref="N7:O7"/>
  </mergeCells>
  <pageMargins left="0.51181102362204722" right="0.51181102362204722" top="0.78740157480314965" bottom="0.78740157480314965" header="0.31496062992125984" footer="0.31496062992125984"/>
  <pageSetup paperSize="9" scale="57" orientation="landscape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8">
    <tabColor theme="4" tint="-0.499984740745262"/>
  </sheetPr>
  <dimension ref="A1:K20"/>
  <sheetViews>
    <sheetView showGridLines="0" view="pageBreakPreview" zoomScaleNormal="100" zoomScaleSheetLayoutView="100" workbookViewId="0">
      <selection activeCell="C5" sqref="C5:K5"/>
    </sheetView>
  </sheetViews>
  <sheetFormatPr defaultRowHeight="12.75"/>
  <cols>
    <col min="1" max="1" width="5.42578125" customWidth="1"/>
    <col min="6" max="6" width="19.5703125" bestFit="1" customWidth="1"/>
    <col min="10" max="10" width="10.140625" customWidth="1"/>
    <col min="11" max="11" width="11.140625" customWidth="1"/>
  </cols>
  <sheetData>
    <row r="1" spans="1:11" ht="42.75" customHeight="1">
      <c r="A1" s="120" t="s">
        <v>36</v>
      </c>
      <c r="B1" s="121"/>
      <c r="C1" s="121"/>
      <c r="D1" s="121"/>
      <c r="E1" s="121"/>
      <c r="F1" s="121"/>
      <c r="G1" s="121"/>
      <c r="H1" s="121"/>
      <c r="I1" s="121"/>
      <c r="J1" s="121"/>
      <c r="K1" s="122"/>
    </row>
    <row r="2" spans="1:11" ht="20.25" customHeight="1">
      <c r="A2" s="123"/>
      <c r="B2" s="124"/>
      <c r="C2" s="124"/>
      <c r="D2" s="124"/>
      <c r="E2" s="124"/>
      <c r="F2" s="124"/>
      <c r="G2" s="124"/>
      <c r="H2" s="124"/>
      <c r="I2" s="124"/>
      <c r="J2" s="124"/>
      <c r="K2" s="125"/>
    </row>
    <row r="3" spans="1:11">
      <c r="A3" s="123"/>
      <c r="B3" s="124"/>
      <c r="C3" s="124"/>
      <c r="D3" s="124"/>
      <c r="E3" s="124"/>
      <c r="F3" s="124"/>
      <c r="G3" s="124"/>
      <c r="H3" s="124"/>
      <c r="I3" s="124"/>
      <c r="J3" s="124"/>
      <c r="K3" s="125"/>
    </row>
    <row r="4" spans="1:11" ht="24.95" customHeight="1">
      <c r="A4" s="6"/>
      <c r="B4" s="5" t="s">
        <v>4</v>
      </c>
      <c r="C4" s="126" t="e">
        <f>VLOOKUP(#REF!,#REF!,2,FALSE)</f>
        <v>#REF!</v>
      </c>
      <c r="D4" s="126"/>
      <c r="E4" s="126"/>
      <c r="F4" s="126"/>
      <c r="G4" s="126"/>
      <c r="H4" s="126"/>
      <c r="I4" s="126"/>
      <c r="J4" s="126"/>
      <c r="K4" s="127"/>
    </row>
    <row r="5" spans="1:11" ht="24.95" customHeight="1">
      <c r="A5" s="6"/>
      <c r="B5" s="5" t="s">
        <v>5</v>
      </c>
      <c r="C5" s="126" t="e">
        <f>VLOOKUP(#REF!,#REF!,3,FALSE)</f>
        <v>#REF!</v>
      </c>
      <c r="D5" s="126"/>
      <c r="E5" s="126"/>
      <c r="F5" s="126"/>
      <c r="G5" s="126"/>
      <c r="H5" s="126"/>
      <c r="I5" s="126"/>
      <c r="J5" s="126"/>
      <c r="K5" s="127"/>
    </row>
    <row r="6" spans="1:11" ht="24.95" customHeight="1">
      <c r="A6" s="6"/>
      <c r="B6" s="5" t="s">
        <v>6</v>
      </c>
      <c r="C6" s="128">
        <f ca="1">TODAY()</f>
        <v>46226</v>
      </c>
      <c r="D6" s="129"/>
      <c r="E6" s="129"/>
      <c r="F6" s="129"/>
      <c r="G6" s="129"/>
      <c r="H6" s="129"/>
      <c r="I6" s="129"/>
      <c r="J6" s="129"/>
      <c r="K6" s="130"/>
    </row>
    <row r="7" spans="1:11" ht="15.75" customHeight="1">
      <c r="A7" s="112" t="s">
        <v>37</v>
      </c>
      <c r="B7" s="113"/>
      <c r="C7" s="113"/>
      <c r="D7" s="113"/>
      <c r="E7" s="113"/>
      <c r="F7" s="113"/>
      <c r="G7" s="113"/>
      <c r="H7" s="113"/>
      <c r="I7" s="113"/>
      <c r="J7" s="113"/>
      <c r="K7" s="114"/>
    </row>
    <row r="8" spans="1:11">
      <c r="A8" s="14"/>
      <c r="B8" s="115" t="s">
        <v>38</v>
      </c>
      <c r="C8" s="116"/>
      <c r="D8" s="116"/>
      <c r="E8" s="116"/>
      <c r="F8" s="116"/>
      <c r="G8" s="116"/>
      <c r="H8" s="116"/>
      <c r="I8" s="116"/>
      <c r="J8" s="116"/>
      <c r="K8" s="117"/>
    </row>
    <row r="9" spans="1:11">
      <c r="A9" s="16"/>
      <c r="B9" s="115" t="s">
        <v>39</v>
      </c>
      <c r="C9" s="116"/>
      <c r="D9" s="116"/>
      <c r="E9" s="116"/>
      <c r="F9" s="116"/>
      <c r="G9" s="116"/>
      <c r="H9" s="116"/>
      <c r="I9" s="116"/>
      <c r="J9" s="116"/>
      <c r="K9" s="117"/>
    </row>
    <row r="10" spans="1:11">
      <c r="A10" s="14"/>
      <c r="B10" s="115" t="s">
        <v>40</v>
      </c>
      <c r="C10" s="116"/>
      <c r="D10" s="116"/>
      <c r="E10" s="116"/>
      <c r="F10" s="116"/>
      <c r="G10" s="116"/>
      <c r="H10" s="116"/>
      <c r="I10" s="116"/>
      <c r="J10" s="116"/>
      <c r="K10" s="117"/>
    </row>
    <row r="11" spans="1:11">
      <c r="A11" s="13"/>
      <c r="B11" s="115" t="s">
        <v>41</v>
      </c>
      <c r="C11" s="118"/>
      <c r="D11" s="118"/>
      <c r="E11" s="118"/>
      <c r="F11" s="118"/>
      <c r="G11" s="118"/>
      <c r="H11" s="118"/>
      <c r="I11" s="118"/>
      <c r="J11" s="118"/>
      <c r="K11" s="119"/>
    </row>
    <row r="12" spans="1:11">
      <c r="A12" s="15"/>
      <c r="B12" s="115" t="s">
        <v>34</v>
      </c>
      <c r="C12" s="116"/>
      <c r="D12" s="116"/>
      <c r="E12" s="116"/>
      <c r="F12" s="116"/>
      <c r="G12" s="116"/>
      <c r="H12" s="116"/>
      <c r="I12" s="116"/>
      <c r="J12" s="116"/>
      <c r="K12" s="117"/>
    </row>
    <row r="13" spans="1:11">
      <c r="A13" s="15"/>
      <c r="B13" s="22" t="s">
        <v>33</v>
      </c>
      <c r="C13" s="3"/>
      <c r="D13" s="3"/>
      <c r="E13" s="3"/>
      <c r="F13" s="3"/>
      <c r="G13" s="3"/>
      <c r="H13" s="3"/>
      <c r="I13" s="3"/>
      <c r="J13" s="3"/>
      <c r="K13" s="19"/>
    </row>
    <row r="14" spans="1:11">
      <c r="A14" s="17"/>
      <c r="B14" s="3"/>
      <c r="C14" s="3"/>
      <c r="D14" s="3"/>
      <c r="E14" s="3"/>
      <c r="F14" s="3"/>
      <c r="G14" s="3"/>
      <c r="H14" s="3"/>
      <c r="I14" s="3"/>
      <c r="J14" s="3"/>
      <c r="K14" s="19"/>
    </row>
    <row r="15" spans="1:11">
      <c r="A15" s="10"/>
      <c r="B15" s="3"/>
      <c r="C15" s="3"/>
      <c r="D15" s="3"/>
      <c r="E15" s="3"/>
      <c r="F15" s="3"/>
      <c r="G15" s="3"/>
      <c r="H15" s="3"/>
      <c r="I15" s="3"/>
      <c r="J15" s="3"/>
      <c r="K15" s="19"/>
    </row>
    <row r="16" spans="1:11">
      <c r="A16" s="10"/>
      <c r="B16" s="3"/>
      <c r="C16" s="3"/>
      <c r="D16" s="3"/>
      <c r="E16" s="3"/>
      <c r="F16" s="3"/>
      <c r="G16" s="3"/>
      <c r="H16" s="3"/>
      <c r="I16" s="3"/>
      <c r="J16" s="3"/>
      <c r="K16" s="19"/>
    </row>
    <row r="17" spans="1:11">
      <c r="A17" s="21"/>
      <c r="B17" s="18"/>
      <c r="C17" s="3"/>
      <c r="D17" s="3"/>
      <c r="E17" s="18"/>
      <c r="F17" s="3"/>
      <c r="G17" s="18"/>
      <c r="H17" s="18"/>
      <c r="I17" s="18"/>
      <c r="J17" s="18"/>
      <c r="K17" s="20"/>
    </row>
    <row r="18" spans="1:11">
      <c r="A18" s="108" t="s">
        <v>42</v>
      </c>
      <c r="B18" s="109"/>
      <c r="C18" s="109"/>
      <c r="D18" s="109"/>
      <c r="E18" s="109"/>
      <c r="F18" s="3"/>
      <c r="G18" s="110" t="e">
        <f>C4</f>
        <v>#REF!</v>
      </c>
      <c r="H18" s="110"/>
      <c r="I18" s="110"/>
      <c r="J18" s="110"/>
      <c r="K18" s="111"/>
    </row>
    <row r="19" spans="1:11" ht="13.5" thickBot="1">
      <c r="A19" s="7"/>
      <c r="B19" s="4"/>
      <c r="C19" s="8"/>
      <c r="D19" s="8"/>
      <c r="E19" s="8"/>
      <c r="F19" s="8"/>
      <c r="G19" s="8"/>
      <c r="H19" s="8"/>
      <c r="I19" s="8"/>
      <c r="J19" s="8"/>
      <c r="K19" s="9"/>
    </row>
    <row r="20" spans="1:11">
      <c r="B20" s="1"/>
    </row>
  </sheetData>
  <mergeCells count="12">
    <mergeCell ref="A1:K3"/>
    <mergeCell ref="C4:K4"/>
    <mergeCell ref="C5:K5"/>
    <mergeCell ref="C6:K6"/>
    <mergeCell ref="B10:K10"/>
    <mergeCell ref="A18:E18"/>
    <mergeCell ref="G18:K18"/>
    <mergeCell ref="A7:K7"/>
    <mergeCell ref="B8:K8"/>
    <mergeCell ref="B9:K9"/>
    <mergeCell ref="B11:K11"/>
    <mergeCell ref="B12:K12"/>
  </mergeCells>
  <printOptions horizontalCentered="1"/>
  <pageMargins left="0" right="0" top="0" bottom="0" header="0" footer="0"/>
  <pageSetup paperSize="9" scale="81" orientation="portrait" horizontalDpi="360" verticalDpi="36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B38F8D-63F3-4412-9366-1EA39E6096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Planilha7</vt:lpstr>
      <vt:lpstr>DADOS</vt:lpstr>
      <vt:lpstr>FICHA DE EPI</vt:lpstr>
      <vt:lpstr>DISPENSA CONTRATO (2)</vt:lpstr>
      <vt:lpstr>'DISPENSA CONTRATO (2)'!Area_de_impressao</vt:lpstr>
    </vt:vector>
  </TitlesOfParts>
  <Company>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Frederico Guedes</dc:creator>
  <cp:keywords>FCE</cp:keywords>
  <cp:lastModifiedBy>Elite Belmonte</cp:lastModifiedBy>
  <cp:lastPrinted>2026-07-23T12:15:16Z</cp:lastPrinted>
  <dcterms:created xsi:type="dcterms:W3CDTF">2005-02-23T11:21:36Z</dcterms:created>
  <dcterms:modified xsi:type="dcterms:W3CDTF">2026-07-23T13:13:26Z</dcterms:modified>
</cp:coreProperties>
</file>